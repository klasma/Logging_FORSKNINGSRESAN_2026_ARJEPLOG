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25</v>
      </c>
      <c r="M2" t="n">
        <v>13</v>
      </c>
      <c r="N2" t="n">
        <v>0</v>
      </c>
      <c r="O2" t="n">
        <v>0</v>
      </c>
      <c r="P2" t="n">
        <v>0</v>
      </c>
      <c r="Q2" t="n">
        <v>38</v>
      </c>
      <c r="R2" t="n">
        <v>13</v>
      </c>
      <c r="S2" t="n">
        <v>64</v>
      </c>
      <c r="T2" t="n">
        <v>345</v>
      </c>
      <c r="U2" t="n">
        <v>345</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Nordlig nållav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51</v>
      </c>
      <c r="T3" t="n">
        <v>297</v>
      </c>
      <c r="U3" t="n">
        <v>285</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11</v>
      </c>
      <c r="L4" t="n">
        <v>18</v>
      </c>
      <c r="M4" t="n">
        <v>8</v>
      </c>
      <c r="N4" t="n">
        <v>0</v>
      </c>
      <c r="O4" t="n">
        <v>0</v>
      </c>
      <c r="P4" t="n">
        <v>0</v>
      </c>
      <c r="Q4" t="n">
        <v>26</v>
      </c>
      <c r="R4" t="n">
        <v>8</v>
      </c>
      <c r="S4" t="n">
        <v>50</v>
      </c>
      <c r="T4" t="n">
        <v>372</v>
      </c>
      <c r="U4" t="n">
        <v>336</v>
      </c>
      <c r="V4" s="2" t="inlineStr">
        <is>
          <t>Garnlav
Grantickeporing
Gränsticka
Knärot
Lappticka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Svanvik SO avvanm</t>
        </is>
      </c>
      <c r="B12" t="inlineStr">
        <is>
          <t>inventeringsområde</t>
        </is>
      </c>
      <c r="D12" s="1" t="n">
        <v>46223</v>
      </c>
      <c r="E12" s="1" t="n">
        <v>46226</v>
      </c>
      <c r="F12" t="inlineStr">
        <is>
          <t>Norrbottens län</t>
        </is>
      </c>
      <c r="G12" t="inlineStr">
        <is>
          <t>Arjeplog</t>
        </is>
      </c>
      <c r="I12" t="n">
        <v>12.9</v>
      </c>
      <c r="J12" t="n">
        <v>6</v>
      </c>
      <c r="K12" t="n">
        <v>10</v>
      </c>
      <c r="L12" t="n">
        <v>14</v>
      </c>
      <c r="M12" t="n">
        <v>4</v>
      </c>
      <c r="N12" t="n">
        <v>0</v>
      </c>
      <c r="O12" t="n">
        <v>0</v>
      </c>
      <c r="P12" t="n">
        <v>0</v>
      </c>
      <c r="Q12" t="n">
        <v>18</v>
      </c>
      <c r="R12" t="n">
        <v>4</v>
      </c>
      <c r="S12" t="n">
        <v>29</v>
      </c>
      <c r="T12" t="n">
        <v>129</v>
      </c>
      <c r="U12" t="n">
        <v>129</v>
      </c>
      <c r="V12" s="2" t="inlineStr">
        <is>
          <t>Garnlav
Gränsticka
Knärot
Lappticka
Blanksvart spiklav
Doftskinn
Gammelgransskål
Harticka
Knottrig blåslav
Lavskrika
Rosenticka
Skrovellav
Talltita
Tretåig hackspett
Ullticka
Vedflamlav
Vedtrappmossa
Vitgrynig nållav
Bronshjon
Bårdlav
Källmossor
Luddlav
Plattlummer
Spindelblomster
Stuplav
Vedticka
Vågbandad barkbock
Ögonpyrola
Bergsslok</t>
        </is>
      </c>
      <c r="W12">
        <f>HYPERLINK("https://klasma.github.io/Logging_FORSKNINGSRESAN_2026_ARJEPLOG/artfynd/Svanvik SO avvanm artfynd.xlsx", "Svanvik SO avvanm")</f>
        <v/>
      </c>
      <c r="X12">
        <f>HYPERLINK("https://klasma.github.io/Logging_FORSKNINGSRESAN_2026_ARJEPLOG/kartor/Svanvik SO avvanm karta.png", "Svanvik SO avvanm")</f>
        <v/>
      </c>
      <c r="Y12">
        <f>HYPERLINK("https://klasma.github.io/Logging_FORSKNINGSRESAN_2026_ARJEPLOG/kartor_geotiff/Svanvik SO avvanm georefererad karta.tif", "Svanvik SO avvanm")</f>
        <v/>
      </c>
      <c r="Z12">
        <f>HYPERLINK("https://klasma.github.io/Logging_FORSKNINGSRESAN_2026_ARJEPLOG/knärot/Svanvik SO avvanm karta knärot.png", "Svanvik SO avvanm")</f>
        <v/>
      </c>
      <c r="AA12">
        <f>HYPERLINK("https://klasma.github.io/Logging_FORSKNINGSRESAN_2026_ARJEPLOG/klagomål/Svanvik SO avvanm FSC-klagomål.docx", "Svanvik SO avvanm")</f>
        <v/>
      </c>
      <c r="AB12">
        <f>HYPERLINK("https://klasma.github.io/Logging_FORSKNINGSRESAN_2026_ARJEPLOG/klagomålsmail/Svanvik SO avvanm FSC-klagomål mail.docx", "Svanvik SO avvanm")</f>
        <v/>
      </c>
      <c r="AC12">
        <f>HYPERLINK("https://klasma.github.io/Logging_FORSKNINGSRESAN_2026_ARJEPLOG/tillsyn/Svanvik SO avvanm tillsynsbegäran.docx", "Svanvik SO avvanm")</f>
        <v/>
      </c>
      <c r="AD12">
        <f>HYPERLINK("https://klasma.github.io/Logging_FORSKNINGSRESAN_2026_ARJEPLOG/tillsynsmail/Svanvik SO avvanm tillsynsbegäran mail.docx", "Svanvik SO avvanm")</f>
        <v/>
      </c>
      <c r="AE12">
        <f>HYPERLINK("https://klasma.github.io/Logging_FORSKNINGSRESAN_2026_ARJEPLOG/fåglar/Svanvik SO avvanm prioriterade fågelarter.docx", "Svanvik SO avvanm")</f>
        <v/>
      </c>
      <c r="AF12" t="inlineStr">
        <is>
          <t>Grannaturskog</t>
        </is>
      </c>
      <c r="AG12" t="n">
        <v>1</v>
      </c>
      <c r="AH12" t="inlineStr">
        <is>
          <t>Privat</t>
        </is>
      </c>
      <c r="AI12" t="inlineStr">
        <is>
          <t>Dag Gran: Gr 1 (prio 1)</t>
        </is>
      </c>
      <c r="AJ12" t="n">
        <v/>
      </c>
    </row>
    <row r="13" ht="15" customHeight="1">
      <c r="A13" t="inlineStr">
        <is>
          <t>Maskaure Uddnäs avvanm, 4,6 ha</t>
        </is>
      </c>
      <c r="B13" t="inlineStr">
        <is>
          <t>inventeringsområde</t>
        </is>
      </c>
      <c r="D13" s="1" t="n">
        <v>46223</v>
      </c>
      <c r="E13" s="1" t="n">
        <v>46226</v>
      </c>
      <c r="F13" t="inlineStr">
        <is>
          <t>Norrbottens län</t>
        </is>
      </c>
      <c r="G13" t="inlineStr">
        <is>
          <t>Arjeplog</t>
        </is>
      </c>
      <c r="I13" t="n">
        <v>4.6</v>
      </c>
      <c r="J13" t="n">
        <v>3</v>
      </c>
      <c r="K13" t="n">
        <v>3</v>
      </c>
      <c r="L13" t="n">
        <v>17</v>
      </c>
      <c r="M13" t="n">
        <v>5</v>
      </c>
      <c r="N13" t="n">
        <v>0</v>
      </c>
      <c r="O13" t="n">
        <v>0</v>
      </c>
      <c r="P13" t="n">
        <v>0</v>
      </c>
      <c r="Q13" t="n">
        <v>22</v>
      </c>
      <c r="R13" t="n">
        <v>5</v>
      </c>
      <c r="S13" t="n">
        <v>26</v>
      </c>
      <c r="T13" t="n">
        <v>106</v>
      </c>
      <c r="U13" t="n">
        <v>106</v>
      </c>
      <c r="V13"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3">
        <f>HYPERLINK("https://klasma.github.io/Logging_FORSKNINGSRESAN_2026_ARJEPLOG/artfynd/Maskaure Uddnäs avvanm, 4,6 ha artfynd.xlsx", "Maskaure Uddnäs avvanm, 4,6 ha")</f>
        <v/>
      </c>
      <c r="X13">
        <f>HYPERLINK("https://klasma.github.io/Logging_FORSKNINGSRESAN_2026_ARJEPLOG/kartor/Maskaure Uddnäs avvanm, 4,6 ha karta.png", "Maskaure Uddnäs avvanm, 4,6 ha")</f>
        <v/>
      </c>
      <c r="Y13">
        <f>HYPERLINK("https://klasma.github.io/Logging_FORSKNINGSRESAN_2026_ARJEPLOG/kartor_geotiff/Maskaure Uddnäs avvanm, 4,6 ha georefererad karta.tif", "Maskaure Uddnäs avvanm, 4,6 ha")</f>
        <v/>
      </c>
      <c r="AA13">
        <f>HYPERLINK("https://klasma.github.io/Logging_FORSKNINGSRESAN_2026_ARJEPLOG/klagomål/Maskaure Uddnäs avvanm, 4,6 ha FSC-klagomål.docx", "Maskaure Uddnäs avvanm, 4,6 ha")</f>
        <v/>
      </c>
      <c r="AB13">
        <f>HYPERLINK("https://klasma.github.io/Logging_FORSKNINGSRESAN_2026_ARJEPLOG/klagomålsmail/Maskaure Uddnäs avvanm, 4,6 ha FSC-klagomål mail.docx", "Maskaure Uddnäs avvanm, 4,6 ha")</f>
        <v/>
      </c>
      <c r="AC13">
        <f>HYPERLINK("https://klasma.github.io/Logging_FORSKNINGSRESAN_2026_ARJEPLOG/tillsyn/Maskaure Uddnäs avvanm, 4,6 ha tillsynsbegäran.docx", "Maskaure Uddnäs avvanm, 4,6 ha")</f>
        <v/>
      </c>
      <c r="AD13">
        <f>HYPERLINK("https://klasma.github.io/Logging_FORSKNINGSRESAN_2026_ARJEPLOG/tillsynsmail/Maskaure Uddnäs avvanm, 4,6 ha tillsynsbegäran mail.docx", "Maskaure Uddnäs avvanm, 4,6 ha")</f>
        <v/>
      </c>
      <c r="AE13">
        <f>HYPERLINK("https://klasma.github.io/Logging_FORSKNINGSRESAN_2026_ARJEPLOG/fåglar/Maskaure Uddnäs avvanm, 4,6 ha prioriterade fågelarter.docx", "Maskaure Uddnäs avvanm, 4,6 ha")</f>
        <v/>
      </c>
      <c r="AF13" t="inlineStr">
        <is>
          <t>Barrblandskog med äldre gran, nyckelbiotop, avvanm</t>
        </is>
      </c>
      <c r="AG13" t="n">
        <v>1</v>
      </c>
      <c r="AH13" t="inlineStr">
        <is>
          <t>Privat</t>
        </is>
      </c>
      <c r="AI13" t="inlineStr">
        <is>
          <t>Ons: Gr 3</t>
        </is>
      </c>
      <c r="AJ13" t="inlineStr">
        <is>
          <t>A 37442-2025</t>
        </is>
      </c>
    </row>
    <row r="14" ht="15" customHeight="1">
      <c r="A14" t="inlineStr">
        <is>
          <t>Västra Kikkejaure Rengärdet avvanm</t>
        </is>
      </c>
      <c r="B14" t="inlineStr">
        <is>
          <t>inventeringsområde</t>
        </is>
      </c>
      <c r="D14" s="1" t="n">
        <v>46223</v>
      </c>
      <c r="E14" s="1" t="n">
        <v>46226</v>
      </c>
      <c r="F14" t="inlineStr">
        <is>
          <t>Norrbottens län</t>
        </is>
      </c>
      <c r="G14" t="inlineStr">
        <is>
          <t>Arjeplog</t>
        </is>
      </c>
      <c r="H14" t="inlineStr">
        <is>
          <t>Allmännings- och besparingsskogar</t>
        </is>
      </c>
      <c r="I14" t="n">
        <v>10.4</v>
      </c>
      <c r="J14" t="n">
        <v>5</v>
      </c>
      <c r="K14" t="n">
        <v>3</v>
      </c>
      <c r="L14" t="n">
        <v>18</v>
      </c>
      <c r="M14" t="n">
        <v>3</v>
      </c>
      <c r="N14" t="n">
        <v>0</v>
      </c>
      <c r="O14" t="n">
        <v>0</v>
      </c>
      <c r="P14" t="n">
        <v>0</v>
      </c>
      <c r="Q14" t="n">
        <v>21</v>
      </c>
      <c r="R14" t="n">
        <v>3</v>
      </c>
      <c r="S14" t="n">
        <v>26</v>
      </c>
      <c r="T14" t="n">
        <v>95</v>
      </c>
      <c r="U14" t="n">
        <v>61</v>
      </c>
      <c r="V14"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4">
        <f>HYPERLINK("https://klasma.github.io/Logging_FORSKNINGSRESAN_2026_ARJEPLOG/artfynd/Västra Kikkejaure Rengärdet avvanm artfynd.xlsx", "Västra Kikkejaure Rengärdet avvanm")</f>
        <v/>
      </c>
      <c r="X14">
        <f>HYPERLINK("https://klasma.github.io/Logging_FORSKNINGSRESAN_2026_ARJEPLOG/kartor/Västra Kikkejaure Rengärdet avvanm karta.png", "Västra Kikkejaure Rengärdet avvanm")</f>
        <v/>
      </c>
      <c r="Y14">
        <f>HYPERLINK("https://klasma.github.io/Logging_FORSKNINGSRESAN_2026_ARJEPLOG/kartor_geotiff/Västra Kikkejaure Rengärdet avvanm georefererad karta.tif", "Västra Kikkejaure Rengärdet avvanm")</f>
        <v/>
      </c>
      <c r="AA14">
        <f>HYPERLINK("https://klasma.github.io/Logging_FORSKNINGSRESAN_2026_ARJEPLOG/klagomål/Västra Kikkejaure Rengärdet avvanm FSC-klagomål.docx", "Västra Kikkejaure Rengärdet avvanm")</f>
        <v/>
      </c>
      <c r="AB14">
        <f>HYPERLINK("https://klasma.github.io/Logging_FORSKNINGSRESAN_2026_ARJEPLOG/klagomålsmail/Västra Kikkejaure Rengärdet avvanm FSC-klagomål mail.docx", "Västra Kikkejaure Rengärdet avvanm")</f>
        <v/>
      </c>
      <c r="AC14">
        <f>HYPERLINK("https://klasma.github.io/Logging_FORSKNINGSRESAN_2026_ARJEPLOG/tillsyn/Västra Kikkejaure Rengärdet avvanm tillsynsbegäran.docx", "Västra Kikkejaure Rengärdet avvanm")</f>
        <v/>
      </c>
      <c r="AD14">
        <f>HYPERLINK("https://klasma.github.io/Logging_FORSKNINGSRESAN_2026_ARJEPLOG/tillsynsmail/Västra Kikkejaure Rengärdet avvanm tillsynsbegäran mail.docx", "Västra Kikkejaure Rengärdet avvanm")</f>
        <v/>
      </c>
      <c r="AE14">
        <f>HYPERLINK("https://klasma.github.io/Logging_FORSKNINGSRESAN_2026_ARJEPLOG/fåglar/Västra Kikkejaure Rengärdet avvanm prioriterade fågelarter.docx", "Västra Kikkejaure Rengärdet avvanm")</f>
        <v/>
      </c>
      <c r="AF14" t="inlineStr">
        <is>
          <t>Delvis inventerad av Fältbiologerna, komplettera! avvanm</t>
        </is>
      </c>
      <c r="AG14" t="n">
        <v>1</v>
      </c>
      <c r="AH14" t="inlineStr">
        <is>
          <t>Allmännings- och besparingsskogar</t>
        </is>
      </c>
      <c r="AI14" t="inlineStr">
        <is>
          <t>Tis: Gr 2 (prio 2)</t>
        </is>
      </c>
      <c r="AJ14" t="inlineStr">
        <is>
          <t>A 26954-2022</t>
        </is>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163</v>
      </c>
      <c r="U15" t="n">
        <v>163</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2026-07-23T19:43:43Z</dcterms:created>
  <dcterms:modified xmlns:dcterms="http://purl.org/dc/terms/" xmlns:xsi="http://www.w3.org/2001/XMLSchema-instance" xsi:type="dcterms:W3CDTF">2026-07-23T19:43:43Z</dcterms:modified>
</cp:coreProperties>
</file>