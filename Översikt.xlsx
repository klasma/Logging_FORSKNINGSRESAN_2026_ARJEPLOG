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Juvtábákte utvidgning S</t>
        </is>
      </c>
      <c r="B14" t="inlineStr">
        <is>
          <t>inventeringsområde</t>
        </is>
      </c>
      <c r="D14" s="1" t="n">
        <v>46223</v>
      </c>
      <c r="E14" s="1" t="n">
        <v>46226</v>
      </c>
      <c r="F14" t="inlineStr">
        <is>
          <t>Norrbottens län</t>
        </is>
      </c>
      <c r="G14" t="inlineStr">
        <is>
          <t>Arjeplog</t>
        </is>
      </c>
      <c r="H14" t="inlineStr">
        <is>
          <t>Övriga statliga verk och myndigheter</t>
        </is>
      </c>
      <c r="I14" t="n">
        <v>143</v>
      </c>
      <c r="J14" t="n">
        <v>9</v>
      </c>
      <c r="K14" t="n">
        <v>4</v>
      </c>
      <c r="L14" t="n">
        <v>9</v>
      </c>
      <c r="M14" t="n">
        <v>0</v>
      </c>
      <c r="N14" t="n">
        <v>0</v>
      </c>
      <c r="O14" t="n">
        <v>0</v>
      </c>
      <c r="P14" t="n">
        <v>0</v>
      </c>
      <c r="Q14" t="n">
        <v>9</v>
      </c>
      <c r="R14" t="n">
        <v>0</v>
      </c>
      <c r="S14" t="n">
        <v>17</v>
      </c>
      <c r="T14" t="n">
        <v>23</v>
      </c>
      <c r="U14" t="n">
        <v>1</v>
      </c>
      <c r="V14" s="2" t="inlineStr">
        <is>
          <t>Blå taggsvamp
Dropptaggsvamp
Lappmes
Lavskrika
Skarp dropptaggsvamp
Stickelfrö
Talltagel
Tretåig hackspett
Ullticka
Nordlig fjädermossa
Plattlummer
Spindelblomster
Ögonpyrola
Mattlummer
Brudsporre
Fläcknycklar
Revlummer</t>
        </is>
      </c>
      <c r="W14">
        <f>HYPERLINK("https://klasma.github.io/Logging_FORSKNINGSRESAN_2026_ARJEPLOG/artfynd/Juvtábákte utvidgning S artfynd.xlsx", "Juvtábákte utvidgning S")</f>
        <v/>
      </c>
      <c r="X14">
        <f>HYPERLINK("https://klasma.github.io/Logging_FORSKNINGSRESAN_2026_ARJEPLOG/kartor/Juvtábákte utvidgning S karta.png", "Juvtábákte utvidgning S")</f>
        <v/>
      </c>
      <c r="Y14">
        <f>HYPERLINK("https://klasma.github.io/Logging_FORSKNINGSRESAN_2026_ARJEPLOG/kartor_geotiff/Juvtábákte utvidgning S georefererad karta.tif", "Juvtábákte utvidgning S")</f>
        <v/>
      </c>
      <c r="AA14">
        <f>HYPERLINK("https://klasma.github.io/Logging_FORSKNINGSRESAN_2026_ARJEPLOG/klagomål/Juvtábákte utvidgning S FSC-klagomål.docx", "Juvtábákte utvidgning S")</f>
        <v/>
      </c>
      <c r="AB14">
        <f>HYPERLINK("https://klasma.github.io/Logging_FORSKNINGSRESAN_2026_ARJEPLOG/klagomålsmail/Juvtábákte utvidgning S FSC-klagomål mail.docx", "Juvtábákte utvidgning S")</f>
        <v/>
      </c>
      <c r="AC14">
        <f>HYPERLINK("https://klasma.github.io/Logging_FORSKNINGSRESAN_2026_ARJEPLOG/tillsyn/Juvtábákte utvidgning S tillsynsbegäran.docx", "Juvtábákte utvidgning S")</f>
        <v/>
      </c>
      <c r="AD14">
        <f>HYPERLINK("https://klasma.github.io/Logging_FORSKNINGSRESAN_2026_ARJEPLOG/tillsynsmail/Juvtábákte utvidgning S tillsynsbegäran mail.docx", "Juvtábákte utvidgning S")</f>
        <v/>
      </c>
      <c r="AE14">
        <f>HYPERLINK("https://klasma.github.io/Logging_FORSKNINGSRESAN_2026_ARJEPLOG/fåglar/Juvtábákte utvidgning S prioriterade fågelarter.docx", "Juvtábákte utvidgning S")</f>
        <v/>
      </c>
      <c r="AF14" t="inlineStr">
        <is>
          <t>Avskrevs på samr.möte 171116. Samr. m SFV gäller ej längre. Inv 2022 + branten på priv.m. Ö om. Viktigt för att få ner reservatet till allmän väg, vilket ökar tillgängligheten. Bytt namn 230314 till ...Silvervägen. /FF Bör ingå i planerat</t>
        </is>
      </c>
      <c r="AG14" t="n">
        <v>2</v>
      </c>
      <c r="AH14" t="inlineStr">
        <is>
          <t>Fastighetsverket</t>
        </is>
      </c>
      <c r="AI14" t="inlineStr">
        <is>
          <t>Tis: Gr 4</t>
        </is>
      </c>
      <c r="AJ14" t="n">
        <v/>
      </c>
    </row>
    <row r="15" ht="15" customHeight="1">
      <c r="A15" t="inlineStr">
        <is>
          <t>Maskaure Mullholm avvanm, 39,6 ha</t>
        </is>
      </c>
      <c r="B15" t="inlineStr">
        <is>
          <t>inventeringsområde</t>
        </is>
      </c>
      <c r="D15" s="1" t="n">
        <v>46223</v>
      </c>
      <c r="E15" s="1" t="n">
        <v>46226</v>
      </c>
      <c r="F15" t="inlineStr">
        <is>
          <t>Norrbottens län</t>
        </is>
      </c>
      <c r="G15" t="inlineStr">
        <is>
          <t>Arjeplog</t>
        </is>
      </c>
      <c r="I15" t="n">
        <v>39.6</v>
      </c>
      <c r="J15" t="n">
        <v>7</v>
      </c>
      <c r="K15" t="n">
        <v>1</v>
      </c>
      <c r="L15" t="n">
        <v>12</v>
      </c>
      <c r="M15" t="n">
        <v>1</v>
      </c>
      <c r="N15" t="n">
        <v>0</v>
      </c>
      <c r="O15" t="n">
        <v>0</v>
      </c>
      <c r="P15" t="n">
        <v>0</v>
      </c>
      <c r="Q15" t="n">
        <v>13</v>
      </c>
      <c r="R15" t="n">
        <v>1</v>
      </c>
      <c r="S15" t="n">
        <v>16</v>
      </c>
      <c r="T15" t="n">
        <v>45</v>
      </c>
      <c r="U15" t="n">
        <v>29</v>
      </c>
      <c r="V15" s="2" t="inlineStr">
        <is>
          <t>Fläckporing
Blanksvart spiklav
Drillsnäppa
Dropptaggsvamp
Duvhök
Dvärgbägarlav
Lavskrika
Nordtagging
Talltagel
Talltita
Vedflamlav
Vedskivlav
Älg
Plattlummer
Tjäder
Havsörn</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Bremudden avvanm</t>
        </is>
      </c>
      <c r="B16" t="inlineStr">
        <is>
          <t>inventeringsområde</t>
        </is>
      </c>
      <c r="D16" s="1" t="n">
        <v>46223</v>
      </c>
      <c r="E16" s="1" t="n">
        <v>46226</v>
      </c>
      <c r="F16" t="inlineStr">
        <is>
          <t>Norrbottens län</t>
        </is>
      </c>
      <c r="G16" t="inlineStr">
        <is>
          <t>Arjeplog</t>
        </is>
      </c>
      <c r="I16" t="n">
        <v>19.7</v>
      </c>
      <c r="J16" t="n">
        <v>4</v>
      </c>
      <c r="K16" t="n">
        <v>0</v>
      </c>
      <c r="L16" t="n">
        <v>10</v>
      </c>
      <c r="M16" t="n">
        <v>3</v>
      </c>
      <c r="N16" t="n">
        <v>0</v>
      </c>
      <c r="O16" t="n">
        <v>0</v>
      </c>
      <c r="P16" t="n">
        <v>0</v>
      </c>
      <c r="Q16" t="n">
        <v>13</v>
      </c>
      <c r="R16" t="n">
        <v>3</v>
      </c>
      <c r="S16" t="n">
        <v>16</v>
      </c>
      <c r="T16" t="n">
        <v>20</v>
      </c>
      <c r="U16" t="n">
        <v>20</v>
      </c>
      <c r="V16" s="2" t="inlineStr">
        <is>
          <t>Fläckporing
Garnlav
Gräddporing
Blanksvart spiklav
Dvärgbägarlav
Grå blåbärsfältmätare
Mörk kolflarnlav
Talltagel
Talltita
Vedflamlav
Vedskivlav
Vitplätt
Älg
Tjäder
Vanlig groda
Revlummer</t>
        </is>
      </c>
      <c r="W16">
        <f>HYPERLINK("https://klasma.github.io/Logging_FORSKNINGSRESAN_2026_ARJEPLOG/artfynd/Bremudden avvanm artfynd.xlsx", "Bremudden avvanm")</f>
        <v/>
      </c>
      <c r="X16">
        <f>HYPERLINK("https://klasma.github.io/Logging_FORSKNINGSRESAN_2026_ARJEPLOG/kartor/Bremudden avvanm karta.png", "Bremudden avvanm")</f>
        <v/>
      </c>
      <c r="Y16">
        <f>HYPERLINK("https://klasma.github.io/Logging_FORSKNINGSRESAN_2026_ARJEPLOG/kartor_geotiff/Bremudden avvanm georefererad karta.tif", "Bremudden avvanm")</f>
        <v/>
      </c>
      <c r="AA16">
        <f>HYPERLINK("https://klasma.github.io/Logging_FORSKNINGSRESAN_2026_ARJEPLOG/klagomål/Bremudden avvanm FSC-klagomål.docx", "Bremudden avvanm")</f>
        <v/>
      </c>
      <c r="AB16">
        <f>HYPERLINK("https://klasma.github.io/Logging_FORSKNINGSRESAN_2026_ARJEPLOG/klagomålsmail/Bremudden avvanm FSC-klagomål mail.docx", "Bremudden avvanm")</f>
        <v/>
      </c>
      <c r="AC16">
        <f>HYPERLINK("https://klasma.github.io/Logging_FORSKNINGSRESAN_2026_ARJEPLOG/tillsyn/Bremudden avvanm tillsynsbegäran.docx", "Bremudden avvanm")</f>
        <v/>
      </c>
      <c r="AD16">
        <f>HYPERLINK("https://klasma.github.io/Logging_FORSKNINGSRESAN_2026_ARJEPLOG/tillsynsmail/Bremudden avvanm tillsynsbegäran mail.docx", "Bremudden avvanm")</f>
        <v/>
      </c>
      <c r="AE16">
        <f>HYPERLINK("https://klasma.github.io/Logging_FORSKNINGSRESAN_2026_ARJEPLOG/fåglar/Bremudden avvanm prioriterade fågelarter.docx", "Bremudden avvanm")</f>
        <v/>
      </c>
      <c r="AF16" t="inlineStr">
        <is>
          <t>avvanm</t>
        </is>
      </c>
      <c r="AG16" t="n">
        <v/>
      </c>
      <c r="AH16" t="inlineStr">
        <is>
          <t>Privat</t>
        </is>
      </c>
      <c r="AI16" t="inlineStr">
        <is>
          <t>Tis: Gr 1 (prio 2)</t>
        </is>
      </c>
      <c r="AJ16" t="inlineStr">
        <is>
          <t>A 24892-2026</t>
        </is>
      </c>
    </row>
    <row r="17" ht="15" customHeight="1">
      <c r="A17" t="inlineStr">
        <is>
          <t>S om Kvarntjärnen</t>
        </is>
      </c>
      <c r="B17" t="inlineStr">
        <is>
          <t>inventeringsområde</t>
        </is>
      </c>
      <c r="D17" s="1" t="n">
        <v>46223</v>
      </c>
      <c r="E17" s="1" t="n">
        <v>46226</v>
      </c>
      <c r="F17" t="inlineStr">
        <is>
          <t>Norrbottens län</t>
        </is>
      </c>
      <c r="G17" t="inlineStr">
        <is>
          <t>Arjeplog</t>
        </is>
      </c>
      <c r="H17" t="inlineStr">
        <is>
          <t>Sveaskog</t>
        </is>
      </c>
      <c r="I17" t="n">
        <v>27.7</v>
      </c>
      <c r="J17" t="n">
        <v>4</v>
      </c>
      <c r="K17" t="n">
        <v>3</v>
      </c>
      <c r="L17" t="n">
        <v>9</v>
      </c>
      <c r="M17" t="n">
        <v>2</v>
      </c>
      <c r="N17" t="n">
        <v>1</v>
      </c>
      <c r="O17" t="n">
        <v>0</v>
      </c>
      <c r="P17" t="n">
        <v>0</v>
      </c>
      <c r="Q17" t="n">
        <v>12</v>
      </c>
      <c r="R17" t="n">
        <v>3</v>
      </c>
      <c r="S17" t="n">
        <v>15</v>
      </c>
      <c r="T17" t="n">
        <v>82</v>
      </c>
      <c r="U17" t="n">
        <v>82</v>
      </c>
      <c r="V17" s="2" t="inlineStr">
        <is>
          <t>Lusporing
Garnlav
Gräddporing
Blanksvart spiklav
Dropptaggsvamp
Dvärgbägarlav
Lavskrika
Nordtagging
Talltagel
Talltita
Tretåig hackspett
Vedskivlav
Norrlandslav
Plattlummer
Vedticka</t>
        </is>
      </c>
      <c r="W17">
        <f>HYPERLINK("https://klasma.github.io/Logging_FORSKNINGSRESAN_2026_ARJEPLOG/artfynd/S om Kvarntjärnen artfynd.xlsx", "S om Kvarntjärnen")</f>
        <v/>
      </c>
      <c r="X17">
        <f>HYPERLINK("https://klasma.github.io/Logging_FORSKNINGSRESAN_2026_ARJEPLOG/kartor/S om Kvarntjärnen karta.png", "S om Kvarntjärnen")</f>
        <v/>
      </c>
      <c r="Y17">
        <f>HYPERLINK("https://klasma.github.io/Logging_FORSKNINGSRESAN_2026_ARJEPLOG/kartor_geotiff/S om Kvarntjärnen georefererad karta.tif", "S om Kvarntjärnen")</f>
        <v/>
      </c>
      <c r="AA17">
        <f>HYPERLINK("https://klasma.github.io/Logging_FORSKNINGSRESAN_2026_ARJEPLOG/klagomål/S om Kvarntjärnen FSC-klagomål.docx", "S om Kvarntjärnen")</f>
        <v/>
      </c>
      <c r="AB17">
        <f>HYPERLINK("https://klasma.github.io/Logging_FORSKNINGSRESAN_2026_ARJEPLOG/klagomålsmail/S om Kvarntjärnen FSC-klagomål mail.docx", "S om Kvarntjärnen")</f>
        <v/>
      </c>
      <c r="AC17">
        <f>HYPERLINK("https://klasma.github.io/Logging_FORSKNINGSRESAN_2026_ARJEPLOG/tillsyn/S om Kvarntjärnen tillsynsbegäran.docx", "S om Kvarntjärnen")</f>
        <v/>
      </c>
      <c r="AD17">
        <f>HYPERLINK("https://klasma.github.io/Logging_FORSKNINGSRESAN_2026_ARJEPLOG/tillsynsmail/S om Kvarntjärnen tillsynsbegäran mail.docx", "S om Kvarntjärnen")</f>
        <v/>
      </c>
      <c r="AE17">
        <f>HYPERLINK("https://klasma.github.io/Logging_FORSKNINGSRESAN_2026_ARJEPLOG/fåglar/S om Kvarntjärnen prioriterade fågelarter.docx", "S om Kvarntjärnen")</f>
        <v/>
      </c>
      <c r="AF17" t="inlineStr">
        <is>
          <t>Ser bra ut från vägen, bom öppen.</t>
        </is>
      </c>
      <c r="AG17" t="n">
        <v>10</v>
      </c>
      <c r="AH17" t="inlineStr">
        <is>
          <t>Sveaskog</t>
        </is>
      </c>
      <c r="AI17" t="inlineStr">
        <is>
          <t>Tis: Gr 2 (prio 3)</t>
        </is>
      </c>
      <c r="AJ17" t="n">
        <v/>
      </c>
    </row>
    <row r="18" ht="15" customHeight="1">
      <c r="A18" t="inlineStr">
        <is>
          <t>Maskaure Myrås avvanm, 5 ha</t>
        </is>
      </c>
      <c r="B18" t="inlineStr">
        <is>
          <t>inventeringsområde</t>
        </is>
      </c>
      <c r="D18" s="1" t="n">
        <v>46223</v>
      </c>
      <c r="E18" s="1" t="n">
        <v>46226</v>
      </c>
      <c r="F18" t="inlineStr">
        <is>
          <t>Norrbottens län</t>
        </is>
      </c>
      <c r="G18" t="inlineStr">
        <is>
          <t>Arjeplog</t>
        </is>
      </c>
      <c r="I18" t="n">
        <v>5</v>
      </c>
      <c r="J18" t="n">
        <v>1</v>
      </c>
      <c r="K18" t="n">
        <v>1</v>
      </c>
      <c r="L18" t="n">
        <v>11</v>
      </c>
      <c r="M18" t="n">
        <v>2</v>
      </c>
      <c r="N18" t="n">
        <v>0</v>
      </c>
      <c r="O18" t="n">
        <v>0</v>
      </c>
      <c r="P18" t="n">
        <v>0</v>
      </c>
      <c r="Q18" t="n">
        <v>13</v>
      </c>
      <c r="R18" t="n">
        <v>2</v>
      </c>
      <c r="S18" t="n">
        <v>14</v>
      </c>
      <c r="T18" t="n">
        <v>37</v>
      </c>
      <c r="U18" t="n">
        <v>22</v>
      </c>
      <c r="V18" s="2" t="inlineStr">
        <is>
          <t>Garnlav
Gränsticka
Blanksvart spiklav
Blågrå svartspik
Dvärgbägarlav
Gammelgransskål
Knottrig blåslav
Kolflarnlav
Mörk kolflarnlav
Talltagel
Tretåig hackspett
Vedflamlav
Vedskivlav
Vedticka</t>
        </is>
      </c>
      <c r="W18">
        <f>HYPERLINK("https://klasma.github.io/Logging_FORSKNINGSRESAN_2026_ARJEPLOG/artfynd/Maskaure Myrås avvanm, 5 ha artfynd.xlsx", "Maskaure Myrås avvanm, 5 ha")</f>
        <v/>
      </c>
      <c r="X18">
        <f>HYPERLINK("https://klasma.github.io/Logging_FORSKNINGSRESAN_2026_ARJEPLOG/kartor/Maskaure Myrås avvanm, 5 ha karta.png", "Maskaure Myrås avvanm, 5 ha")</f>
        <v/>
      </c>
      <c r="Y18">
        <f>HYPERLINK("https://klasma.github.io/Logging_FORSKNINGSRESAN_2026_ARJEPLOG/kartor_geotiff/Maskaure Myrås avvanm, 5 ha georefererad karta.tif", "Maskaure Myrås avvanm, 5 ha")</f>
        <v/>
      </c>
      <c r="AA18">
        <f>HYPERLINK("https://klasma.github.io/Logging_FORSKNINGSRESAN_2026_ARJEPLOG/klagomål/Maskaure Myrås avvanm, 5 ha FSC-klagomål.docx", "Maskaure Myrås avvanm, 5 ha")</f>
        <v/>
      </c>
      <c r="AB18">
        <f>HYPERLINK("https://klasma.github.io/Logging_FORSKNINGSRESAN_2026_ARJEPLOG/klagomålsmail/Maskaure Myrås avvanm, 5 ha FSC-klagomål mail.docx", "Maskaure Myrås avvanm, 5 ha")</f>
        <v/>
      </c>
      <c r="AC18">
        <f>HYPERLINK("https://klasma.github.io/Logging_FORSKNINGSRESAN_2026_ARJEPLOG/tillsyn/Maskaure Myrås avvanm, 5 ha tillsynsbegäran.docx", "Maskaure Myrås avvanm, 5 ha")</f>
        <v/>
      </c>
      <c r="AD18">
        <f>HYPERLINK("https://klasma.github.io/Logging_FORSKNINGSRESAN_2026_ARJEPLOG/tillsynsmail/Maskaure Myrås avvanm, 5 ha tillsynsbegäran mail.docx", "Maskaure Myrås avvanm, 5 ha")</f>
        <v/>
      </c>
      <c r="AE18">
        <f>HYPERLINK("https://klasma.github.io/Logging_FORSKNINGSRESAN_2026_ARJEPLOG/fåglar/Maskaure Myrås avvanm, 5 ha prioriterade fågelarter.docx", "Maskaure Myrås avvanm, 5 ha")</f>
        <v/>
      </c>
      <c r="AF18" t="inlineStr">
        <is>
          <t>avvanm, delvis inventerad</t>
        </is>
      </c>
      <c r="AG18" t="n">
        <v>1</v>
      </c>
      <c r="AH18" t="inlineStr">
        <is>
          <t>Privat</t>
        </is>
      </c>
      <c r="AI18" t="inlineStr">
        <is>
          <t>Ons: Gr 2 (prio 2)</t>
        </is>
      </c>
      <c r="AJ18" t="inlineStr">
        <is>
          <t>A 64837-2023</t>
        </is>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2026-07-23T05:03:07Z</dcterms:created>
  <dcterms:modified xmlns:dcterms="http://purl.org/dc/terms/" xmlns:xsi="http://www.w3.org/2001/XMLSchema-instance" xsi:type="dcterms:W3CDTF">2026-07-23T05:03:07Z</dcterms:modified>
</cp:coreProperties>
</file>