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Maskaure Siebdniesjávrrie-Lillberget, 122 ha</t>
        </is>
      </c>
      <c r="B2" t="inlineStr">
        <is>
          <t>inventeringsområde</t>
        </is>
      </c>
      <c r="D2" s="1" t="n">
        <v>46223</v>
      </c>
      <c r="E2" s="1" t="n">
        <v>46248</v>
      </c>
      <c r="F2" t="inlineStr">
        <is>
          <t>Norrbottens län</t>
        </is>
      </c>
      <c r="G2" t="inlineStr">
        <is>
          <t>Arjeplog</t>
        </is>
      </c>
      <c r="H2" t="inlineStr">
        <is>
          <t>Sveaskog</t>
        </is>
      </c>
      <c r="I2" t="n">
        <v>122.1</v>
      </c>
      <c r="J2" t="n">
        <v>6</v>
      </c>
      <c r="K2" t="n">
        <v>4</v>
      </c>
      <c r="L2" t="n">
        <v>15</v>
      </c>
      <c r="M2" t="n">
        <v>4</v>
      </c>
      <c r="N2" t="n">
        <v>0</v>
      </c>
      <c r="O2" t="n">
        <v>0</v>
      </c>
      <c r="P2" t="n">
        <v>0</v>
      </c>
      <c r="Q2" t="n">
        <v>19</v>
      </c>
      <c r="R2" t="n">
        <v>4</v>
      </c>
      <c r="S2" t="n">
        <v>26</v>
      </c>
      <c r="T2" t="n">
        <v>61</v>
      </c>
      <c r="U2" t="n">
        <v>0</v>
      </c>
      <c r="V2" s="2" t="inlineStr">
        <is>
          <t>Garnlav
Grantickeporing
Nordlig parasitporing
Ostticka
Blanksvart spiklav
Dvärgbägarlav
Gammelgransskål
Knottrig blåslav
Kolflarnlav
Lavskrika
Liten svartspik
Rynkskinn
Skogshare
Talltagel
Tretåig hackspett
Ullticka
Vedskivlav
Vitgrynig nållav
Äggvaxskivling
Blodticka
Bårdlav
Spindelblomster
Stuplav
Tjäder
Fläcknycklar
Revlummer</t>
        </is>
      </c>
      <c r="W2">
        <f>HYPERLINK("https://klasma.github.io/Logging_FORSKNINGSRESAN_2026_ARJEPLOG/artfynd/Maskaure Siebdniesjávrrie-Lillberget, 122 ha artfynd.xlsx", "Maskaure Siebdniesjávrrie-Lillberget, 122 ha")</f>
        <v/>
      </c>
      <c r="X2">
        <f>HYPERLINK("https://klasma.github.io/Logging_FORSKNINGSRESAN_2026_ARJEPLOG/kartor/Maskaure Siebdniesjávrrie-Lillberget, 122 ha karta.png", "Maskaure Siebdniesjávrrie-Lillberget, 122 ha")</f>
        <v/>
      </c>
      <c r="Y2">
        <f>HYPERLINK("https://klasma.github.io/Logging_FORSKNINGSRESAN_2026_ARJEPLOG/kartor_geotiff/Maskaure Siebdniesjávrrie-Lillberget, 122 ha georefererad karta.tif", "Maskaure Siebdniesjávrrie-Lillberget, 122 ha")</f>
        <v/>
      </c>
      <c r="AA2">
        <f>HYPERLINK("https://klasma.github.io/Logging_FORSKNINGSRESAN_2026_ARJEPLOG/klagomål/Maskaure Siebdniesjávrrie-Lillberget, 122 ha FSC-klagomål.docx", "Maskaure Siebdniesjávrrie-Lillberget, 122 ha")</f>
        <v/>
      </c>
      <c r="AB2">
        <f>HYPERLINK("https://klasma.github.io/Logging_FORSKNINGSRESAN_2026_ARJEPLOG/klagomålsmail/Maskaure Siebdniesjávrrie-Lillberget, 122 ha FSC-klagomål mail.docx", "Maskaure Siebdniesjávrrie-Lillberget, 122 ha")</f>
        <v/>
      </c>
      <c r="AC2">
        <f>HYPERLINK("https://klasma.github.io/Logging_FORSKNINGSRESAN_2026_ARJEPLOG/tillsyn/Maskaure Siebdniesjávrrie-Lillberget, 122 ha tillsynsbegäran.docx", "Maskaure Siebdniesjávrrie-Lillberget, 122 ha")</f>
        <v/>
      </c>
      <c r="AD2">
        <f>HYPERLINK("https://klasma.github.io/Logging_FORSKNINGSRESAN_2026_ARJEPLOG/tillsynsmail/Maskaure Siebdniesjávrrie-Lillberget, 122 ha tillsynsbegäran mail.docx", "Maskaure Siebdniesjávrrie-Lillberget, 122 ha")</f>
        <v/>
      </c>
      <c r="AE2">
        <f>HYPERLINK("https://klasma.github.io/Logging_FORSKNINGSRESAN_2026_ARJEPLOG/fåglar/Maskaure Siebdniesjávrrie-Lillberget, 122 ha prioriterade fågelarter.docx", "Maskaure Siebdniesjávrrie-Lillberget, 122 ha")</f>
        <v/>
      </c>
      <c r="AF2" t="inlineStr">
        <is>
          <t>Gran. Samplaneringsomr finns inom omr</t>
        </is>
      </c>
      <c r="AG2" t="n">
        <v>1</v>
      </c>
      <c r="AH2" t="inlineStr">
        <is>
          <t>Sveaskog</t>
        </is>
      </c>
      <c r="AI2" t="inlineStr">
        <is>
          <t>Ons: Gr 1</t>
        </is>
      </c>
      <c r="AJ2" t="n">
        <v/>
      </c>
    </row>
    <row r="3" ht="15" customHeight="1">
      <c r="A3" t="inlineStr">
        <is>
          <t>Gålggåmisvárre</t>
        </is>
      </c>
      <c r="B3" t="inlineStr">
        <is>
          <t>inventeringsområde</t>
        </is>
      </c>
      <c r="D3" s="1" t="n">
        <v>46223</v>
      </c>
      <c r="E3" s="1" t="n">
        <v>46248</v>
      </c>
      <c r="F3" t="inlineStr">
        <is>
          <t>Norrbottens län</t>
        </is>
      </c>
      <c r="G3" t="inlineStr">
        <is>
          <t>Arjeplog</t>
        </is>
      </c>
      <c r="H3" t="inlineStr">
        <is>
          <t>Sveaskog</t>
        </is>
      </c>
      <c r="I3" t="n">
        <v>40.1</v>
      </c>
      <c r="J3" t="n">
        <v>2</v>
      </c>
      <c r="K3" t="n">
        <v>3</v>
      </c>
      <c r="L3" t="n">
        <v>11</v>
      </c>
      <c r="M3" t="n">
        <v>4</v>
      </c>
      <c r="N3" t="n">
        <v>0</v>
      </c>
      <c r="O3" t="n">
        <v>0</v>
      </c>
      <c r="P3" t="n">
        <v>0</v>
      </c>
      <c r="Q3" t="n">
        <v>15</v>
      </c>
      <c r="R3" t="n">
        <v>4</v>
      </c>
      <c r="S3" t="n">
        <v>19</v>
      </c>
      <c r="T3" t="n">
        <v>44</v>
      </c>
      <c r="U3" t="n">
        <v>0</v>
      </c>
      <c r="V3" s="2" t="inlineStr">
        <is>
          <t>Fläckporing
Gräddporing
Smalfotad taggsvamp
Torrmusseron
Blanksvart spiklav
Blågrå svartspik
Dvärgbägarlav
Kolflarnlav
Mörk kolflarnlav
Nordtagging
Talltita
Vaddporing
Vedflamlav
Vedskivlav
Vitplätt
Bårdlav
Luddlav
Stuplav
Tjäder</t>
        </is>
      </c>
      <c r="W3">
        <f>HYPERLINK("https://klasma.github.io/Logging_FORSKNINGSRESAN_2026_ARJEPLOG/artfynd/Gålggåmisvárre artfynd.xlsx", "Gålggåmisvárre")</f>
        <v/>
      </c>
      <c r="X3">
        <f>HYPERLINK("https://klasma.github.io/Logging_FORSKNINGSRESAN_2026_ARJEPLOG/kartor/Gålggåmisvárre karta.png", "Gålggåmisvárre")</f>
        <v/>
      </c>
      <c r="Y3">
        <f>HYPERLINK("https://klasma.github.io/Logging_FORSKNINGSRESAN_2026_ARJEPLOG/kartor_geotiff/Gålggåmisvárre georefererad karta.tif", "Gålggåmisvárre")</f>
        <v/>
      </c>
      <c r="AA3">
        <f>HYPERLINK("https://klasma.github.io/Logging_FORSKNINGSRESAN_2026_ARJEPLOG/klagomål/Gålggåmisvárre FSC-klagomål.docx", "Gålggåmisvárre")</f>
        <v/>
      </c>
      <c r="AB3">
        <f>HYPERLINK("https://klasma.github.io/Logging_FORSKNINGSRESAN_2026_ARJEPLOG/klagomålsmail/Gålggåmisvárre FSC-klagomål mail.docx", "Gålggåmisvárre")</f>
        <v/>
      </c>
      <c r="AC3">
        <f>HYPERLINK("https://klasma.github.io/Logging_FORSKNINGSRESAN_2026_ARJEPLOG/tillsyn/Gålggåmisvárre tillsynsbegäran.docx", "Gålggåmisvárre")</f>
        <v/>
      </c>
      <c r="AD3">
        <f>HYPERLINK("https://klasma.github.io/Logging_FORSKNINGSRESAN_2026_ARJEPLOG/tillsynsmail/Gålggåmisvárre tillsynsbegäran mail.docx", "Gålggåmisvárre")</f>
        <v/>
      </c>
      <c r="AE3">
        <f>HYPERLINK("https://klasma.github.io/Logging_FORSKNINGSRESAN_2026_ARJEPLOG/fåglar/Gålggåmisvárre prioriterade fågelarter.docx", "Gålggåmisvárre")</f>
        <v/>
      </c>
      <c r="AF3" t="inlineStr">
        <is>
          <t>delvis inventerad, Naturskyddsföreningen skickat in FSC-klagomål 2024, avvanm tbkdragen</t>
        </is>
      </c>
      <c r="AG3" t="n">
        <v>2</v>
      </c>
      <c r="AH3" t="inlineStr">
        <is>
          <t>?</t>
        </is>
      </c>
      <c r="AI3" t="inlineStr">
        <is>
          <t>Tis: Gr 1 (prio1 )</t>
        </is>
      </c>
      <c r="AJ3" t="n">
        <v/>
      </c>
    </row>
    <row r="4" ht="15" customHeight="1">
      <c r="A4" t="inlineStr">
        <is>
          <t>Juvtábákte utvidgning S</t>
        </is>
      </c>
      <c r="B4" t="inlineStr">
        <is>
          <t>inventeringsområde</t>
        </is>
      </c>
      <c r="D4" s="1" t="n">
        <v>46223</v>
      </c>
      <c r="E4" s="1" t="n">
        <v>46248</v>
      </c>
      <c r="F4" t="inlineStr">
        <is>
          <t>Norrbottens län</t>
        </is>
      </c>
      <c r="G4" t="inlineStr">
        <is>
          <t>Arjeplog</t>
        </is>
      </c>
      <c r="H4" t="inlineStr">
        <is>
          <t>Övriga statliga verk och myndigheter</t>
        </is>
      </c>
      <c r="I4" t="n">
        <v>143</v>
      </c>
      <c r="J4" t="n">
        <v>9</v>
      </c>
      <c r="K4" t="n">
        <v>4</v>
      </c>
      <c r="L4" t="n">
        <v>8</v>
      </c>
      <c r="M4" t="n">
        <v>0</v>
      </c>
      <c r="N4" t="n">
        <v>0</v>
      </c>
      <c r="O4" t="n">
        <v>0</v>
      </c>
      <c r="P4" t="n">
        <v>0</v>
      </c>
      <c r="Q4" t="n">
        <v>8</v>
      </c>
      <c r="R4" t="n">
        <v>0</v>
      </c>
      <c r="S4" t="n">
        <v>16</v>
      </c>
      <c r="T4" t="n">
        <v>22</v>
      </c>
      <c r="U4" t="n">
        <v>0</v>
      </c>
      <c r="V4" s="2" t="inlineStr">
        <is>
          <t>Blå taggsvamp
Dropptaggsvamp
Lappmes
Lavskrika
Skarp dropptaggsvamp
Stickelfrö
Tretåig hackspett
Ullticka
Nordlig fjädermossa
Plattlummer
Spindelblomster
Ögonpyrola
Mattlummer
Brudsporre
Fläcknycklar
Revlummer</t>
        </is>
      </c>
      <c r="W4">
        <f>HYPERLINK("https://klasma.github.io/Logging_FORSKNINGSRESAN_2026_ARJEPLOG/artfynd/Juvtábákte utvidgning S artfynd.xlsx", "Juvtábákte utvidgning S")</f>
        <v/>
      </c>
      <c r="X4">
        <f>HYPERLINK("https://klasma.github.io/Logging_FORSKNINGSRESAN_2026_ARJEPLOG/kartor/Juvtábákte utvidgning S karta.png", "Juvtábákte utvidgning S")</f>
        <v/>
      </c>
      <c r="Y4">
        <f>HYPERLINK("https://klasma.github.io/Logging_FORSKNINGSRESAN_2026_ARJEPLOG/kartor_geotiff/Juvtábákte utvidgning S georefererad karta.tif", "Juvtábákte utvidgning S")</f>
        <v/>
      </c>
      <c r="AA4">
        <f>HYPERLINK("https://klasma.github.io/Logging_FORSKNINGSRESAN_2026_ARJEPLOG/klagomål/Juvtábákte utvidgning S FSC-klagomål.docx", "Juvtábákte utvidgning S")</f>
        <v/>
      </c>
      <c r="AB4">
        <f>HYPERLINK("https://klasma.github.io/Logging_FORSKNINGSRESAN_2026_ARJEPLOG/klagomålsmail/Juvtábákte utvidgning S FSC-klagomål mail.docx", "Juvtábákte utvidgning S")</f>
        <v/>
      </c>
      <c r="AC4">
        <f>HYPERLINK("https://klasma.github.io/Logging_FORSKNINGSRESAN_2026_ARJEPLOG/tillsyn/Juvtábákte utvidgning S tillsynsbegäran.docx", "Juvtábákte utvidgning S")</f>
        <v/>
      </c>
      <c r="AD4">
        <f>HYPERLINK("https://klasma.github.io/Logging_FORSKNINGSRESAN_2026_ARJEPLOG/tillsynsmail/Juvtábákte utvidgning S tillsynsbegäran mail.docx", "Juvtábákte utvidgning S")</f>
        <v/>
      </c>
      <c r="AE4">
        <f>HYPERLINK("https://klasma.github.io/Logging_FORSKNINGSRESAN_2026_ARJEPLOG/fåglar/Juvtábákte utvidgning S prioriterade fågelarter.docx", "Juvtábákte utvidgning S")</f>
        <v/>
      </c>
      <c r="AF4" t="inlineStr">
        <is>
          <t>Avskrevs på samr.möte 171116. Samr. m SFV gäller ej längre. Inv 2022 + branten på priv.m. Ö om. Viktigt för att få ner reservatet till allmän väg, vilket ökar tillgängligheten. Bytt namn 230314 till ...Silvervägen. /FF Bör ingå i planerat</t>
        </is>
      </c>
      <c r="AG4" t="n">
        <v>2</v>
      </c>
      <c r="AH4" t="inlineStr">
        <is>
          <t>Fastighetsverket</t>
        </is>
      </c>
      <c r="AI4" t="inlineStr">
        <is>
          <t>Tis: Gr 4</t>
        </is>
      </c>
      <c r="AJ4" t="n">
        <v/>
      </c>
    </row>
    <row r="5" ht="15" customHeight="1">
      <c r="A5" t="inlineStr">
        <is>
          <t>Maskaure Renskötartjärnen, 8,3 ha</t>
        </is>
      </c>
      <c r="B5" t="inlineStr">
        <is>
          <t>inventeringsområde</t>
        </is>
      </c>
      <c r="D5" s="1" t="n">
        <v>46223</v>
      </c>
      <c r="E5" s="1" t="n">
        <v>46248</v>
      </c>
      <c r="F5" t="inlineStr">
        <is>
          <t>Norrbottens län</t>
        </is>
      </c>
      <c r="G5" t="inlineStr">
        <is>
          <t>Arjeplog</t>
        </is>
      </c>
      <c r="H5" t="inlineStr">
        <is>
          <t>Sveaskog</t>
        </is>
      </c>
      <c r="I5" t="n">
        <v>8.300000000000001</v>
      </c>
      <c r="J5" t="n">
        <v>1</v>
      </c>
      <c r="K5" t="n">
        <v>1</v>
      </c>
      <c r="L5" t="n">
        <v>8</v>
      </c>
      <c r="M5" t="n">
        <v>5</v>
      </c>
      <c r="N5" t="n">
        <v>0</v>
      </c>
      <c r="O5" t="n">
        <v>1</v>
      </c>
      <c r="P5" t="n">
        <v>0</v>
      </c>
      <c r="Q5" t="n">
        <v>14</v>
      </c>
      <c r="R5" t="n">
        <v>6</v>
      </c>
      <c r="S5" t="n">
        <v>16</v>
      </c>
      <c r="T5" t="n">
        <v>32</v>
      </c>
      <c r="U5" t="n">
        <v>0</v>
      </c>
      <c r="V5" s="2" t="inlineStr">
        <is>
          <t>Kritporing
Fläckporing
Gräddporing
Gränsticka
Smalfotad taggsvamp
Tallstocksticka
Blanksvart spiklav
Blågrå svartspik
Dvärgbägarlav
Nordtagging
Skarp dropptaggsvamp
Tallriska
Vedskivlav
Vitplätt
Luddlav
Revlummer</t>
        </is>
      </c>
      <c r="W5">
        <f>HYPERLINK("https://klasma.github.io/Logging_FORSKNINGSRESAN_2026_ARJEPLOG/artfynd/Maskaure Renskötartjärnen, 8,3 ha artfynd.xlsx", "Maskaure Renskötartjärnen, 8,3 ha")</f>
        <v/>
      </c>
      <c r="X5">
        <f>HYPERLINK("https://klasma.github.io/Logging_FORSKNINGSRESAN_2026_ARJEPLOG/kartor/Maskaure Renskötartjärnen, 8,3 ha karta.png", "Maskaure Renskötartjärnen, 8,3 ha")</f>
        <v/>
      </c>
      <c r="Y5">
        <f>HYPERLINK("https://klasma.github.io/Logging_FORSKNINGSRESAN_2026_ARJEPLOG/kartor_geotiff/Maskaure Renskötartjärnen, 8,3 ha georefererad karta.tif", "Maskaure Renskötartjärnen, 8,3 ha")</f>
        <v/>
      </c>
      <c r="AA5">
        <f>HYPERLINK("https://klasma.github.io/Logging_FORSKNINGSRESAN_2026_ARJEPLOG/klagomål/Maskaure Renskötartjärnen, 8,3 ha FSC-klagomål.docx", "Maskaure Renskötartjärnen, 8,3 ha")</f>
        <v/>
      </c>
      <c r="AB5">
        <f>HYPERLINK("https://klasma.github.io/Logging_FORSKNINGSRESAN_2026_ARJEPLOG/klagomålsmail/Maskaure Renskötartjärnen, 8,3 ha FSC-klagomål mail.docx", "Maskaure Renskötartjärnen, 8,3 ha")</f>
        <v/>
      </c>
      <c r="AC5">
        <f>HYPERLINK("https://klasma.github.io/Logging_FORSKNINGSRESAN_2026_ARJEPLOG/tillsyn/Maskaure Renskötartjärnen, 8,3 ha tillsynsbegäran.docx", "Maskaure Renskötartjärnen, 8,3 ha")</f>
        <v/>
      </c>
      <c r="AD5">
        <f>HYPERLINK("https://klasma.github.io/Logging_FORSKNINGSRESAN_2026_ARJEPLOG/tillsynsmail/Maskaure Renskötartjärnen, 8,3 ha tillsynsbegäran mail.docx", "Maskaure Renskötartjärnen, 8,3 ha")</f>
        <v/>
      </c>
      <c r="AF5" t="inlineStr">
        <is>
          <t>k-skog, ej rekad</t>
        </is>
      </c>
      <c r="AG5" t="n">
        <v>1</v>
      </c>
      <c r="AH5" t="inlineStr">
        <is>
          <t>Sveaskog</t>
        </is>
      </c>
      <c r="AI5" t="inlineStr">
        <is>
          <t>Ons: Gr 3</t>
        </is>
      </c>
      <c r="AJ5" t="n">
        <v/>
      </c>
    </row>
    <row r="6" ht="15" customHeight="1">
      <c r="A6" t="inlineStr">
        <is>
          <t>Västra Kikkejaure Rengärdet avvanm</t>
        </is>
      </c>
      <c r="B6" t="inlineStr">
        <is>
          <t>inventeringsområde</t>
        </is>
      </c>
      <c r="D6" s="1" t="n">
        <v>46223</v>
      </c>
      <c r="E6" s="1" t="n">
        <v>46248</v>
      </c>
      <c r="F6" t="inlineStr">
        <is>
          <t>Norrbottens län</t>
        </is>
      </c>
      <c r="G6" t="inlineStr">
        <is>
          <t>Arjeplog</t>
        </is>
      </c>
      <c r="H6" t="inlineStr">
        <is>
          <t>Allmännings- och besparingsskogar</t>
        </is>
      </c>
      <c r="I6" t="n">
        <v>10.4</v>
      </c>
      <c r="J6" t="n">
        <v>4</v>
      </c>
      <c r="K6" t="n">
        <v>2</v>
      </c>
      <c r="L6" t="n">
        <v>11</v>
      </c>
      <c r="M6" t="n">
        <v>0</v>
      </c>
      <c r="N6" t="n">
        <v>0</v>
      </c>
      <c r="O6" t="n">
        <v>0</v>
      </c>
      <c r="P6" t="n">
        <v>0</v>
      </c>
      <c r="Q6" t="n">
        <v>11</v>
      </c>
      <c r="R6" t="n">
        <v>0</v>
      </c>
      <c r="S6" t="n">
        <v>14</v>
      </c>
      <c r="T6" t="n">
        <v>34</v>
      </c>
      <c r="U6" t="n">
        <v>0</v>
      </c>
      <c r="V6" s="2" t="inlineStr">
        <is>
          <t>Blanksvart spiklav
Blå taggsvamp
Gammelgransskål
Gropig brunbagge
Ladlav
Lavskrika
Nordtagging
Orange taggsvamp
Tretåig hackspett
Vedflamlav
Vedskivlav
Plattlummer
Vågbandad barkbock
Vanlig padda</t>
        </is>
      </c>
      <c r="W6">
        <f>HYPERLINK("https://klasma.github.io/Logging_FORSKNINGSRESAN_2026_ARJEPLOG/artfynd/Västra Kikkejaure Rengärdet avvanm artfynd.xlsx", "Västra Kikkejaure Rengärdet avvanm")</f>
        <v/>
      </c>
      <c r="X6">
        <f>HYPERLINK("https://klasma.github.io/Logging_FORSKNINGSRESAN_2026_ARJEPLOG/kartor/Västra Kikkejaure Rengärdet avvanm karta.png", "Västra Kikkejaure Rengärdet avvanm")</f>
        <v/>
      </c>
      <c r="Y6">
        <f>HYPERLINK("https://klasma.github.io/Logging_FORSKNINGSRESAN_2026_ARJEPLOG/kartor_geotiff/Västra Kikkejaure Rengärdet avvanm georefererad karta.tif", "Västra Kikkejaure Rengärdet avvanm")</f>
        <v/>
      </c>
      <c r="AA6">
        <f>HYPERLINK("https://klasma.github.io/Logging_FORSKNINGSRESAN_2026_ARJEPLOG/klagomål/Västra Kikkejaure Rengärdet avvanm FSC-klagomål.docx", "Västra Kikkejaure Rengärdet avvanm")</f>
        <v/>
      </c>
      <c r="AB6">
        <f>HYPERLINK("https://klasma.github.io/Logging_FORSKNINGSRESAN_2026_ARJEPLOG/klagomålsmail/Västra Kikkejaure Rengärdet avvanm FSC-klagomål mail.docx", "Västra Kikkejaure Rengärdet avvanm")</f>
        <v/>
      </c>
      <c r="AC6">
        <f>HYPERLINK("https://klasma.github.io/Logging_FORSKNINGSRESAN_2026_ARJEPLOG/tillsyn/Västra Kikkejaure Rengärdet avvanm tillsynsbegäran.docx", "Västra Kikkejaure Rengärdet avvanm")</f>
        <v/>
      </c>
      <c r="AD6">
        <f>HYPERLINK("https://klasma.github.io/Logging_FORSKNINGSRESAN_2026_ARJEPLOG/tillsynsmail/Västra Kikkejaure Rengärdet avvanm tillsynsbegäran mail.docx", "Västra Kikkejaure Rengärdet avvanm")</f>
        <v/>
      </c>
      <c r="AE6">
        <f>HYPERLINK("https://klasma.github.io/Logging_FORSKNINGSRESAN_2026_ARJEPLOG/fåglar/Västra Kikkejaure Rengärdet avvanm prioriterade fågelarter.docx", "Västra Kikkejaure Rengärdet avvanm")</f>
        <v/>
      </c>
      <c r="AF6" t="inlineStr">
        <is>
          <t>Delvis inventerad av Fältbiologerna, komplettera! avvanm</t>
        </is>
      </c>
      <c r="AG6" t="n">
        <v>1</v>
      </c>
      <c r="AH6" t="inlineStr">
        <is>
          <t>Allmännings- och besparingsskogar</t>
        </is>
      </c>
      <c r="AI6" t="inlineStr">
        <is>
          <t>Tis: Gr 2 (prio 2)</t>
        </is>
      </c>
      <c r="AJ6" t="inlineStr">
        <is>
          <t>A 26954-2022</t>
        </is>
      </c>
    </row>
    <row r="7" ht="15" customHeight="1">
      <c r="A7" t="inlineStr">
        <is>
          <t>Muorkenåive-Ássjátj S</t>
        </is>
      </c>
      <c r="B7" t="inlineStr">
        <is>
          <t>inventeringsområde</t>
        </is>
      </c>
      <c r="D7" s="1" t="n">
        <v>46223</v>
      </c>
      <c r="E7" s="1" t="n">
        <v>46248</v>
      </c>
      <c r="F7" t="inlineStr">
        <is>
          <t>Norrbottens län</t>
        </is>
      </c>
      <c r="G7" t="inlineStr">
        <is>
          <t>Arjeplog</t>
        </is>
      </c>
      <c r="I7" t="n">
        <v>113.6</v>
      </c>
      <c r="J7" t="n">
        <v>0</v>
      </c>
      <c r="K7" t="n">
        <v>3</v>
      </c>
      <c r="L7" t="n">
        <v>6</v>
      </c>
      <c r="M7" t="n">
        <v>3</v>
      </c>
      <c r="N7" t="n">
        <v>0</v>
      </c>
      <c r="O7" t="n">
        <v>0</v>
      </c>
      <c r="P7" t="n">
        <v>0</v>
      </c>
      <c r="Q7" t="n">
        <v>9</v>
      </c>
      <c r="R7" t="n">
        <v>3</v>
      </c>
      <c r="S7" t="n">
        <v>12</v>
      </c>
      <c r="T7" t="n">
        <v>12</v>
      </c>
      <c r="U7" t="n">
        <v>0</v>
      </c>
      <c r="V7" s="2" t="inlineStr">
        <is>
          <t>Gränsticka
Ostticka
Vitskaftad svartspik
Gammelgransskål
Harticka
Rosenticka
Rynkskinn
Ullticka
Violmussling
Blodticka
Trådticka
Ögonpyrola</t>
        </is>
      </c>
      <c r="W7">
        <f>HYPERLINK("https://klasma.github.io/Logging_FORSKNINGSRESAN_2026_ARJEPLOG/artfynd/Muorkenåive-Ássjátj S artfynd.xlsx", "Muorkenåive-Ássjátj S")</f>
        <v/>
      </c>
      <c r="X7">
        <f>HYPERLINK("https://klasma.github.io/Logging_FORSKNINGSRESAN_2026_ARJEPLOG/kartor/Muorkenåive-Ássjátj S karta.png", "Muorkenåive-Ássjátj S")</f>
        <v/>
      </c>
      <c r="Y7">
        <f>HYPERLINK("https://klasma.github.io/Logging_FORSKNINGSRESAN_2026_ARJEPLOG/kartor_geotiff/Muorkenåive-Ássjátj S georefererad karta.tif", "Muorkenåive-Ássjátj S")</f>
        <v/>
      </c>
      <c r="AA7">
        <f>HYPERLINK("https://klasma.github.io/Logging_FORSKNINGSRESAN_2026_ARJEPLOG/klagomål/Muorkenåive-Ássjátj S FSC-klagomål.docx", "Muorkenåive-Ássjátj S")</f>
        <v/>
      </c>
      <c r="AB7">
        <f>HYPERLINK("https://klasma.github.io/Logging_FORSKNINGSRESAN_2026_ARJEPLOG/klagomålsmail/Muorkenåive-Ássjátj S FSC-klagomål mail.docx", "Muorkenåive-Ássjátj S")</f>
        <v/>
      </c>
      <c r="AC7">
        <f>HYPERLINK("https://klasma.github.io/Logging_FORSKNINGSRESAN_2026_ARJEPLOG/tillsyn/Muorkenåive-Ássjátj S tillsynsbegäran.docx", "Muorkenåive-Ássjátj S")</f>
        <v/>
      </c>
      <c r="AD7">
        <f>HYPERLINK("https://klasma.github.io/Logging_FORSKNINGSRESAN_2026_ARJEPLOG/tillsynsmail/Muorkenåive-Ássjátj S tillsynsbegäran mail.docx", "Muorkenåive-Ássjátj S")</f>
        <v/>
      </c>
      <c r="AF7" t="inlineStr">
        <is>
          <t>Slagit samman Muorkenåive-privat med Assjatj-privat (lilla) till ett objekt efter fältgenomgång. /FF Behöver inte finkamma, men bra att få in några fynd. kommer avvanm hela tiden.</t>
        </is>
      </c>
      <c r="AG7" t="n">
        <v>1</v>
      </c>
      <c r="AH7" t="inlineStr">
        <is>
          <t>Privat</t>
        </is>
      </c>
      <c r="AI7" t="inlineStr">
        <is>
          <t>Dag Gran: Gr 3</t>
        </is>
      </c>
      <c r="AJ7" t="n">
        <v/>
      </c>
    </row>
    <row r="8" ht="15" customHeight="1">
      <c r="A8" t="inlineStr">
        <is>
          <t>Laisdalen Björkliden</t>
        </is>
      </c>
      <c r="B8" t="inlineStr">
        <is>
          <t>inventeringsområde</t>
        </is>
      </c>
      <c r="D8" s="1" t="n">
        <v>46223</v>
      </c>
      <c r="E8" s="1" t="n">
        <v>46248</v>
      </c>
      <c r="F8" t="inlineStr">
        <is>
          <t>Norrbottens län</t>
        </is>
      </c>
      <c r="G8" t="inlineStr">
        <is>
          <t>Arjeplog</t>
        </is>
      </c>
      <c r="H8" t="inlineStr">
        <is>
          <t>Övriga statliga verk och myndigheter</t>
        </is>
      </c>
      <c r="I8" t="n">
        <v>119.1</v>
      </c>
      <c r="J8" t="n">
        <v>3</v>
      </c>
      <c r="K8" t="n">
        <v>1</v>
      </c>
      <c r="L8" t="n">
        <v>7</v>
      </c>
      <c r="M8" t="n">
        <v>2</v>
      </c>
      <c r="N8" t="n">
        <v>0</v>
      </c>
      <c r="O8" t="n">
        <v>0</v>
      </c>
      <c r="P8" t="n">
        <v>0</v>
      </c>
      <c r="Q8" t="n">
        <v>9</v>
      </c>
      <c r="R8" t="n">
        <v>2</v>
      </c>
      <c r="S8" t="n">
        <v>11</v>
      </c>
      <c r="T8" t="n">
        <v>36</v>
      </c>
      <c r="U8" t="n">
        <v>0</v>
      </c>
      <c r="V8" s="2" t="inlineStr">
        <is>
          <t>Grantickeporing
Ostticka
Gammelgransskål
Harticka
Knottrig blåslav
Lavskrika
Rosenticka
Tretåig hackspett
Ullticka
Trådticka
Tjäder</t>
        </is>
      </c>
      <c r="W8">
        <f>HYPERLINK("https://klasma.github.io/Logging_FORSKNINGSRESAN_2026_ARJEPLOG/artfynd/Laisdalen Björkliden artfynd.xlsx", "Laisdalen Björkliden")</f>
        <v/>
      </c>
      <c r="X8">
        <f>HYPERLINK("https://klasma.github.io/Logging_FORSKNINGSRESAN_2026_ARJEPLOG/kartor/Laisdalen Björkliden karta.png", "Laisdalen Björkliden")</f>
        <v/>
      </c>
      <c r="Y8">
        <f>HYPERLINK("https://klasma.github.io/Logging_FORSKNINGSRESAN_2026_ARJEPLOG/kartor_geotiff/Laisdalen Björkliden georefererad karta.tif", "Laisdalen Björkliden")</f>
        <v/>
      </c>
      <c r="AA8">
        <f>HYPERLINK("https://klasma.github.io/Logging_FORSKNINGSRESAN_2026_ARJEPLOG/klagomål/Laisdalen Björkliden FSC-klagomål.docx", "Laisdalen Björkliden")</f>
        <v/>
      </c>
      <c r="AB8">
        <f>HYPERLINK("https://klasma.github.io/Logging_FORSKNINGSRESAN_2026_ARJEPLOG/klagomålsmail/Laisdalen Björkliden FSC-klagomål mail.docx", "Laisdalen Björkliden")</f>
        <v/>
      </c>
      <c r="AC8">
        <f>HYPERLINK("https://klasma.github.io/Logging_FORSKNINGSRESAN_2026_ARJEPLOG/tillsyn/Laisdalen Björkliden tillsynsbegäran.docx", "Laisdalen Björkliden")</f>
        <v/>
      </c>
      <c r="AD8">
        <f>HYPERLINK("https://klasma.github.io/Logging_FORSKNINGSRESAN_2026_ARJEPLOG/tillsynsmail/Laisdalen Björkliden tillsynsbegäran mail.docx", "Laisdalen Björkliden")</f>
        <v/>
      </c>
      <c r="AE8">
        <f>HYPERLINK("https://klasma.github.io/Logging_FORSKNINGSRESAN_2026_ARJEPLOG/fåglar/Laisdalen Björkliden prioriterade fågelarter.docx", "Laisdalen Björkliden")</f>
        <v/>
      </c>
      <c r="AF8" t="inlineStr">
        <is>
          <t>Trolig granbränna, mycket gamla sälgar, spridd död ved, delvis inventerad</t>
        </is>
      </c>
      <c r="AG8" t="n">
        <v>1</v>
      </c>
      <c r="AH8" t="inlineStr">
        <is>
          <t>SFV</t>
        </is>
      </c>
      <c r="AI8" t="inlineStr">
        <is>
          <t>Dag Gran: Gr 4</t>
        </is>
      </c>
      <c r="AJ8" t="n">
        <v/>
      </c>
    </row>
    <row r="9" ht="15" customHeight="1">
      <c r="A9" t="inlineStr">
        <is>
          <t>Maskaure Myrås avvanm, 5 ha</t>
        </is>
      </c>
      <c r="B9" t="inlineStr">
        <is>
          <t>inventeringsområde</t>
        </is>
      </c>
      <c r="D9" s="1" t="n">
        <v>46223</v>
      </c>
      <c r="E9" s="1" t="n">
        <v>46248</v>
      </c>
      <c r="F9" t="inlineStr">
        <is>
          <t>Norrbottens län</t>
        </is>
      </c>
      <c r="G9" t="inlineStr">
        <is>
          <t>Arjeplog</t>
        </is>
      </c>
      <c r="I9" t="n">
        <v>5</v>
      </c>
      <c r="J9" t="n">
        <v>1</v>
      </c>
      <c r="K9" t="n">
        <v>0</v>
      </c>
      <c r="L9" t="n">
        <v>9</v>
      </c>
      <c r="M9" t="n">
        <v>1</v>
      </c>
      <c r="N9" t="n">
        <v>0</v>
      </c>
      <c r="O9" t="n">
        <v>0</v>
      </c>
      <c r="P9" t="n">
        <v>0</v>
      </c>
      <c r="Q9" t="n">
        <v>10</v>
      </c>
      <c r="R9" t="n">
        <v>1</v>
      </c>
      <c r="S9" t="n">
        <v>10</v>
      </c>
      <c r="T9" t="n">
        <v>15</v>
      </c>
      <c r="U9" t="n">
        <v>0</v>
      </c>
      <c r="V9" s="2" t="inlineStr">
        <is>
          <t>Gränsticka
Blågrå svartspik
Dvärgbägarlav
Gammelgransskål
Knottrig blåslav
Kolflarnlav
Talltagel
Tretåig hackspett
Vedflamlav
Vedskivlav</t>
        </is>
      </c>
      <c r="W9">
        <f>HYPERLINK("https://klasma.github.io/Logging_FORSKNINGSRESAN_2026_ARJEPLOG/artfynd/Maskaure Myrås avvanm, 5 ha artfynd.xlsx", "Maskaure Myrås avvanm, 5 ha")</f>
        <v/>
      </c>
      <c r="X9">
        <f>HYPERLINK("https://klasma.github.io/Logging_FORSKNINGSRESAN_2026_ARJEPLOG/kartor/Maskaure Myrås avvanm, 5 ha karta.png", "Maskaure Myrås avvanm, 5 ha")</f>
        <v/>
      </c>
      <c r="Y9">
        <f>HYPERLINK("https://klasma.github.io/Logging_FORSKNINGSRESAN_2026_ARJEPLOG/kartor_geotiff/Maskaure Myrås avvanm, 5 ha georefererad karta.tif", "Maskaure Myrås avvanm, 5 ha")</f>
        <v/>
      </c>
      <c r="AA9">
        <f>HYPERLINK("https://klasma.github.io/Logging_FORSKNINGSRESAN_2026_ARJEPLOG/klagomål/Maskaure Myrås avvanm, 5 ha FSC-klagomål.docx", "Maskaure Myrås avvanm, 5 ha")</f>
        <v/>
      </c>
      <c r="AB9">
        <f>HYPERLINK("https://klasma.github.io/Logging_FORSKNINGSRESAN_2026_ARJEPLOG/klagomålsmail/Maskaure Myrås avvanm, 5 ha FSC-klagomål mail.docx", "Maskaure Myrås avvanm, 5 ha")</f>
        <v/>
      </c>
      <c r="AC9">
        <f>HYPERLINK("https://klasma.github.io/Logging_FORSKNINGSRESAN_2026_ARJEPLOG/tillsyn/Maskaure Myrås avvanm, 5 ha tillsynsbegäran.docx", "Maskaure Myrås avvanm, 5 ha")</f>
        <v/>
      </c>
      <c r="AD9">
        <f>HYPERLINK("https://klasma.github.io/Logging_FORSKNINGSRESAN_2026_ARJEPLOG/tillsynsmail/Maskaure Myrås avvanm, 5 ha tillsynsbegäran mail.docx", "Maskaure Myrås avvanm, 5 ha")</f>
        <v/>
      </c>
      <c r="AE9">
        <f>HYPERLINK("https://klasma.github.io/Logging_FORSKNINGSRESAN_2026_ARJEPLOG/fåglar/Maskaure Myrås avvanm, 5 ha prioriterade fågelarter.docx", "Maskaure Myrås avvanm, 5 ha")</f>
        <v/>
      </c>
      <c r="AF9" t="inlineStr">
        <is>
          <t>avvanm, delvis inventerad</t>
        </is>
      </c>
      <c r="AG9" t="n">
        <v>1</v>
      </c>
      <c r="AH9" t="inlineStr">
        <is>
          <t>Privat</t>
        </is>
      </c>
      <c r="AI9" t="inlineStr">
        <is>
          <t>Ons: Gr 2 (prio 2)</t>
        </is>
      </c>
      <c r="AJ9" t="inlineStr">
        <is>
          <t>A 64837-2023</t>
        </is>
      </c>
    </row>
    <row r="10" ht="15" customHeight="1">
      <c r="A10" t="inlineStr">
        <is>
          <t>Ássjátj utv öster</t>
        </is>
      </c>
      <c r="B10" t="inlineStr">
        <is>
          <t>inventeringsområde</t>
        </is>
      </c>
      <c r="D10" s="1" t="n">
        <v>46223</v>
      </c>
      <c r="E10" s="1" t="n">
        <v>46248</v>
      </c>
      <c r="F10" t="inlineStr">
        <is>
          <t>Norrbottens län</t>
        </is>
      </c>
      <c r="G10" t="inlineStr">
        <is>
          <t>Arjeplog</t>
        </is>
      </c>
      <c r="H10" t="inlineStr">
        <is>
          <t>Övriga statliga verk och myndigheter</t>
        </is>
      </c>
      <c r="I10" t="n">
        <v>27.1</v>
      </c>
      <c r="J10" t="n">
        <v>0</v>
      </c>
      <c r="K10" t="n">
        <v>4</v>
      </c>
      <c r="L10" t="n">
        <v>6</v>
      </c>
      <c r="M10" t="n">
        <v>0</v>
      </c>
      <c r="N10" t="n">
        <v>0</v>
      </c>
      <c r="O10" t="n">
        <v>0</v>
      </c>
      <c r="P10" t="n">
        <v>0</v>
      </c>
      <c r="Q10" t="n">
        <v>6</v>
      </c>
      <c r="R10" t="n">
        <v>0</v>
      </c>
      <c r="S10" t="n">
        <v>10</v>
      </c>
      <c r="T10" t="n">
        <v>13</v>
      </c>
      <c r="U10" t="n">
        <v>0</v>
      </c>
      <c r="V10" s="2" t="inlineStr">
        <is>
          <t>Harticka
Kolflarnlav
Lunglav
Skrovellav
Ullticka
Vedskivlav
Bårdlav
Luddlav
Skinnlav
Ögonpyrola</t>
        </is>
      </c>
      <c r="W10">
        <f>HYPERLINK("https://klasma.github.io/Logging_FORSKNINGSRESAN_2026_ARJEPLOG/artfynd/Ássjátj utv öster artfynd.xlsx", "Ássjátj utv öster")</f>
        <v/>
      </c>
      <c r="X10">
        <f>HYPERLINK("https://klasma.github.io/Logging_FORSKNINGSRESAN_2026_ARJEPLOG/kartor/Ássjátj utv öster karta.png", "Ássjátj utv öster")</f>
        <v/>
      </c>
      <c r="Y10">
        <f>HYPERLINK("https://klasma.github.io/Logging_FORSKNINGSRESAN_2026_ARJEPLOG/kartor_geotiff/Ássjátj utv öster georefererad karta.tif", "Ássjátj utv öster")</f>
        <v/>
      </c>
      <c r="AA10">
        <f>HYPERLINK("https://klasma.github.io/Logging_FORSKNINGSRESAN_2026_ARJEPLOG/klagomål/Ássjátj utv öster FSC-klagomål.docx", "Ássjátj utv öster")</f>
        <v/>
      </c>
      <c r="AB10">
        <f>HYPERLINK("https://klasma.github.io/Logging_FORSKNINGSRESAN_2026_ARJEPLOG/klagomålsmail/Ássjátj utv öster FSC-klagomål mail.docx", "Ássjátj utv öster")</f>
        <v/>
      </c>
      <c r="AC10">
        <f>HYPERLINK("https://klasma.github.io/Logging_FORSKNINGSRESAN_2026_ARJEPLOG/tillsyn/Ássjátj utv öster tillsynsbegäran.docx", "Ássjátj utv öster")</f>
        <v/>
      </c>
      <c r="AD10">
        <f>HYPERLINK("https://klasma.github.io/Logging_FORSKNINGSRESAN_2026_ARJEPLOG/tillsynsmail/Ássjátj utv öster tillsynsbegäran mail.docx", "Ássjátj utv öster")</f>
        <v/>
      </c>
      <c r="AF10" t="inlineStr">
        <is>
          <t>ej inventerad del - gran??</t>
        </is>
      </c>
      <c r="AG10" t="n">
        <v>1</v>
      </c>
      <c r="AH10" t="inlineStr">
        <is>
          <t>SFV</t>
        </is>
      </c>
      <c r="AI10" t="n">
        <v/>
      </c>
      <c r="AJ10" t="n">
        <v/>
      </c>
    </row>
    <row r="11" ht="15" customHeight="1">
      <c r="A11" t="inlineStr">
        <is>
          <t>Ássjátj-udden</t>
        </is>
      </c>
      <c r="B11" t="inlineStr">
        <is>
          <t>inventeringsområde</t>
        </is>
      </c>
      <c r="D11" s="1" t="n">
        <v>46223</v>
      </c>
      <c r="E11" s="1" t="n">
        <v>46248</v>
      </c>
      <c r="F11" t="inlineStr">
        <is>
          <t>Norrbottens län</t>
        </is>
      </c>
      <c r="G11" t="inlineStr">
        <is>
          <t>Arjeplog</t>
        </is>
      </c>
      <c r="I11" t="n">
        <v>53.2</v>
      </c>
      <c r="J11" t="n">
        <v>2</v>
      </c>
      <c r="K11" t="n">
        <v>1</v>
      </c>
      <c r="L11" t="n">
        <v>6</v>
      </c>
      <c r="M11" t="n">
        <v>2</v>
      </c>
      <c r="N11" t="n">
        <v>0</v>
      </c>
      <c r="O11" t="n">
        <v>0</v>
      </c>
      <c r="P11" t="n">
        <v>0</v>
      </c>
      <c r="Q11" t="n">
        <v>8</v>
      </c>
      <c r="R11" t="n">
        <v>2</v>
      </c>
      <c r="S11" t="n">
        <v>9</v>
      </c>
      <c r="T11" t="n">
        <v>10</v>
      </c>
      <c r="U11" t="n">
        <v>0</v>
      </c>
      <c r="V11" s="2" t="inlineStr">
        <is>
          <t>Kristallticka
Ostticka
Gammelgransskål
Rosenticka
Tretåig hackspett
Ullticka
Violettgrå tagellav
Vitgrynig nållav
Spindelblomster</t>
        </is>
      </c>
      <c r="W11">
        <f>HYPERLINK("https://klasma.github.io/Logging_FORSKNINGSRESAN_2026_ARJEPLOG/artfynd/Ássjátj-udden artfynd.xlsx", "Ássjátj-udden")</f>
        <v/>
      </c>
      <c r="X11">
        <f>HYPERLINK("https://klasma.github.io/Logging_FORSKNINGSRESAN_2026_ARJEPLOG/kartor/Ássjátj-udden karta.png", "Ássjátj-udden")</f>
        <v/>
      </c>
      <c r="Y11">
        <f>HYPERLINK("https://klasma.github.io/Logging_FORSKNINGSRESAN_2026_ARJEPLOG/kartor_geotiff/Ássjátj-udden georefererad karta.tif", "Ássjátj-udden")</f>
        <v/>
      </c>
      <c r="AA11">
        <f>HYPERLINK("https://klasma.github.io/Logging_FORSKNINGSRESAN_2026_ARJEPLOG/klagomål/Ássjátj-udden FSC-klagomål.docx", "Ássjátj-udden")</f>
        <v/>
      </c>
      <c r="AB11">
        <f>HYPERLINK("https://klasma.github.io/Logging_FORSKNINGSRESAN_2026_ARJEPLOG/klagomålsmail/Ássjátj-udden FSC-klagomål mail.docx", "Ássjátj-udden")</f>
        <v/>
      </c>
      <c r="AC11">
        <f>HYPERLINK("https://klasma.github.io/Logging_FORSKNINGSRESAN_2026_ARJEPLOG/tillsyn/Ássjátj-udden tillsynsbegäran.docx", "Ássjátj-udden")</f>
        <v/>
      </c>
      <c r="AD11">
        <f>HYPERLINK("https://klasma.github.io/Logging_FORSKNINGSRESAN_2026_ARJEPLOG/tillsynsmail/Ássjátj-udden tillsynsbegäran mail.docx", "Ássjátj-udden")</f>
        <v/>
      </c>
      <c r="AE11">
        <f>HYPERLINK("https://klasma.github.io/Logging_FORSKNINGSRESAN_2026_ARJEPLOG/fåglar/Ássjátj-udden prioriterade fågelarter.docx", "Ássjátj-udden")</f>
        <v/>
      </c>
      <c r="AF11" t="inlineStr">
        <is>
          <t>stavatallskog med överståndare, för lite död ved? oinventerad (jmf greensway norrut)</t>
        </is>
      </c>
      <c r="AG11" t="n">
        <v/>
      </c>
      <c r="AH11" t="inlineStr">
        <is>
          <t>Mestadels privat</t>
        </is>
      </c>
      <c r="AI11" t="n">
        <v/>
      </c>
      <c r="AJ11" t="n">
        <v/>
      </c>
    </row>
    <row r="12" ht="15" customHeight="1">
      <c r="A12" t="inlineStr">
        <is>
          <t>Iksjak-Råssnesudden</t>
        </is>
      </c>
      <c r="B12" t="inlineStr">
        <is>
          <t>inventeringsområde</t>
        </is>
      </c>
      <c r="D12" s="1" t="n">
        <v>46223</v>
      </c>
      <c r="E12" s="1" t="n">
        <v>46248</v>
      </c>
      <c r="F12" t="inlineStr">
        <is>
          <t>Norrbottens län</t>
        </is>
      </c>
      <c r="G12" t="inlineStr">
        <is>
          <t>Arjeplog</t>
        </is>
      </c>
      <c r="H12" t="inlineStr">
        <is>
          <t>Övriga statliga verk och myndigheter</t>
        </is>
      </c>
      <c r="I12" t="n">
        <v>676.5</v>
      </c>
      <c r="J12" t="n">
        <v>0</v>
      </c>
      <c r="K12" t="n">
        <v>2</v>
      </c>
      <c r="L12" t="n">
        <v>4</v>
      </c>
      <c r="M12" t="n">
        <v>2</v>
      </c>
      <c r="N12" t="n">
        <v>0</v>
      </c>
      <c r="O12" t="n">
        <v>0</v>
      </c>
      <c r="P12" t="n">
        <v>0</v>
      </c>
      <c r="Q12" t="n">
        <v>6</v>
      </c>
      <c r="R12" t="n">
        <v>2</v>
      </c>
      <c r="S12" t="n">
        <v>8</v>
      </c>
      <c r="T12" t="n">
        <v>14</v>
      </c>
      <c r="U12" t="n">
        <v>0</v>
      </c>
      <c r="V12" s="2" t="inlineStr">
        <is>
          <t>Fläckporing
Gräddporing
Blanksvart spiklav
Dvärgbägarlav
Knottrig blåslav
Vitplätt
Stuplav
Ögonpyrola</t>
        </is>
      </c>
      <c r="W12">
        <f>HYPERLINK("https://klasma.github.io/Logging_FORSKNINGSRESAN_2026_ARJEPLOG/artfynd/Iksjak-Råssnesudden artfynd.xlsx", "Iksjak-Råssnesudden")</f>
        <v/>
      </c>
      <c r="X12">
        <f>HYPERLINK("https://klasma.github.io/Logging_FORSKNINGSRESAN_2026_ARJEPLOG/kartor/Iksjak-Råssnesudden karta.png", "Iksjak-Råssnesudden")</f>
        <v/>
      </c>
      <c r="Y12">
        <f>HYPERLINK("https://klasma.github.io/Logging_FORSKNINGSRESAN_2026_ARJEPLOG/kartor_geotiff/Iksjak-Råssnesudden georefererad karta.tif", "Iksjak-Råssnesudden")</f>
        <v/>
      </c>
      <c r="AA12">
        <f>HYPERLINK("https://klasma.github.io/Logging_FORSKNINGSRESAN_2026_ARJEPLOG/klagomål/Iksjak-Råssnesudden FSC-klagomål.docx", "Iksjak-Råssnesudden")</f>
        <v/>
      </c>
      <c r="AB12">
        <f>HYPERLINK("https://klasma.github.io/Logging_FORSKNINGSRESAN_2026_ARJEPLOG/klagomålsmail/Iksjak-Råssnesudden FSC-klagomål mail.docx", "Iksjak-Råssnesudden")</f>
        <v/>
      </c>
      <c r="AC12">
        <f>HYPERLINK("https://klasma.github.io/Logging_FORSKNINGSRESAN_2026_ARJEPLOG/tillsyn/Iksjak-Råssnesudden tillsynsbegäran.docx", "Iksjak-Råssnesudden")</f>
        <v/>
      </c>
      <c r="AD12">
        <f>HYPERLINK("https://klasma.github.io/Logging_FORSKNINGSRESAN_2026_ARJEPLOG/tillsynsmail/Iksjak-Råssnesudden tillsynsbegäran mail.docx", "Iksjak-Råssnesudden")</f>
        <v/>
      </c>
      <c r="AF12" t="inlineStr">
        <is>
          <t>Obruten skog. 80-90 % genomgallrat. Finast längst kanterna. Finns stor parkering vid vägen.</t>
        </is>
      </c>
      <c r="AG12" t="n">
        <v>1</v>
      </c>
      <c r="AH12" t="inlineStr">
        <is>
          <t>Övriga statliga verk och myndigheter</t>
        </is>
      </c>
      <c r="AI12" t="n">
        <v/>
      </c>
      <c r="AJ12" t="n">
        <v/>
      </c>
    </row>
    <row r="13" ht="15" customHeight="1">
      <c r="A13" t="inlineStr">
        <is>
          <t>Maskaure Långmyran SV, 6,8 ha</t>
        </is>
      </c>
      <c r="B13" t="inlineStr">
        <is>
          <t>inventeringsområde</t>
        </is>
      </c>
      <c r="D13" s="1" t="n">
        <v>46223</v>
      </c>
      <c r="E13" s="1" t="n">
        <v>46248</v>
      </c>
      <c r="F13" t="inlineStr">
        <is>
          <t>Norrbottens län</t>
        </is>
      </c>
      <c r="G13" t="inlineStr">
        <is>
          <t>Arjeplog</t>
        </is>
      </c>
      <c r="H13" t="inlineStr">
        <is>
          <t>Sveaskog</t>
        </is>
      </c>
      <c r="I13" t="n">
        <v>6.9</v>
      </c>
      <c r="J13" t="n">
        <v>0</v>
      </c>
      <c r="K13" t="n">
        <v>1</v>
      </c>
      <c r="L13" t="n">
        <v>5</v>
      </c>
      <c r="M13" t="n">
        <v>2</v>
      </c>
      <c r="N13" t="n">
        <v>0</v>
      </c>
      <c r="O13" t="n">
        <v>0</v>
      </c>
      <c r="P13" t="n">
        <v>0</v>
      </c>
      <c r="Q13" t="n">
        <v>7</v>
      </c>
      <c r="R13" t="n">
        <v>2</v>
      </c>
      <c r="S13" t="n">
        <v>8</v>
      </c>
      <c r="T13" t="n">
        <v>8</v>
      </c>
      <c r="U13" t="n">
        <v>0</v>
      </c>
      <c r="V13" s="2" t="inlineStr">
        <is>
          <t>Grantickeporing
Gränsticka
Blågrå svartspik
Gammelgransskål
Knottrig blåslav
Ullticka
Äggvaxskivling
Blodticka</t>
        </is>
      </c>
      <c r="W13">
        <f>HYPERLINK("https://klasma.github.io/Logging_FORSKNINGSRESAN_2026_ARJEPLOG/artfynd/Maskaure Långmyran SV, 6,8 ha artfynd.xlsx", "Maskaure Långmyran SV, 6,8 ha")</f>
        <v/>
      </c>
      <c r="X13">
        <f>HYPERLINK("https://klasma.github.io/Logging_FORSKNINGSRESAN_2026_ARJEPLOG/kartor/Maskaure Långmyran SV, 6,8 ha karta.png", "Maskaure Långmyran SV, 6,8 ha")</f>
        <v/>
      </c>
      <c r="Y13">
        <f>HYPERLINK("https://klasma.github.io/Logging_FORSKNINGSRESAN_2026_ARJEPLOG/kartor_geotiff/Maskaure Långmyran SV, 6,8 ha georefererad karta.tif", "Maskaure Långmyran SV, 6,8 ha")</f>
        <v/>
      </c>
      <c r="AA13">
        <f>HYPERLINK("https://klasma.github.io/Logging_FORSKNINGSRESAN_2026_ARJEPLOG/klagomål/Maskaure Långmyran SV, 6,8 ha FSC-klagomål.docx", "Maskaure Långmyran SV, 6,8 ha")</f>
        <v/>
      </c>
      <c r="AB13">
        <f>HYPERLINK("https://klasma.github.io/Logging_FORSKNINGSRESAN_2026_ARJEPLOG/klagomålsmail/Maskaure Långmyran SV, 6,8 ha FSC-klagomål mail.docx", "Maskaure Långmyran SV, 6,8 ha")</f>
        <v/>
      </c>
      <c r="AC13">
        <f>HYPERLINK("https://klasma.github.io/Logging_FORSKNINGSRESAN_2026_ARJEPLOG/tillsyn/Maskaure Långmyran SV, 6,8 ha tillsynsbegäran.docx", "Maskaure Långmyran SV, 6,8 ha")</f>
        <v/>
      </c>
      <c r="AD13">
        <f>HYPERLINK("https://klasma.github.io/Logging_FORSKNINGSRESAN_2026_ARJEPLOG/tillsynsmail/Maskaure Långmyran SV, 6,8 ha tillsynsbegäran mail.docx", "Maskaure Långmyran SV, 6,8 ha")</f>
        <v/>
      </c>
      <c r="AF13" t="n">
        <v/>
      </c>
      <c r="AG13" t="n">
        <v>1</v>
      </c>
      <c r="AH13" t="inlineStr">
        <is>
          <t>Sveaskog</t>
        </is>
      </c>
      <c r="AI13" t="inlineStr">
        <is>
          <t>Ons: Gr 3</t>
        </is>
      </c>
      <c r="AJ13" t="n">
        <v/>
      </c>
    </row>
    <row r="14" ht="15" customHeight="1">
      <c r="A14" t="inlineStr">
        <is>
          <t>Muörkienåjvvie</t>
        </is>
      </c>
      <c r="B14" t="inlineStr">
        <is>
          <t>inventeringsområde</t>
        </is>
      </c>
      <c r="D14" s="1" t="n">
        <v>46223</v>
      </c>
      <c r="E14" s="1" t="n">
        <v>46248</v>
      </c>
      <c r="F14" t="inlineStr">
        <is>
          <t>Norrbottens län</t>
        </is>
      </c>
      <c r="G14" t="inlineStr">
        <is>
          <t>Arjeplog</t>
        </is>
      </c>
      <c r="I14" t="n">
        <v>121.8</v>
      </c>
      <c r="J14" t="n">
        <v>1</v>
      </c>
      <c r="K14" t="n">
        <v>0</v>
      </c>
      <c r="L14" t="n">
        <v>3</v>
      </c>
      <c r="M14" t="n">
        <v>3</v>
      </c>
      <c r="N14" t="n">
        <v>0</v>
      </c>
      <c r="O14" t="n">
        <v>0</v>
      </c>
      <c r="P14" t="n">
        <v>0</v>
      </c>
      <c r="Q14" t="n">
        <v>6</v>
      </c>
      <c r="R14" t="n">
        <v>3</v>
      </c>
      <c r="S14" t="n">
        <v>6</v>
      </c>
      <c r="T14" t="n">
        <v>6</v>
      </c>
      <c r="U14" t="n">
        <v>0</v>
      </c>
      <c r="V14" s="2" t="inlineStr">
        <is>
          <t>Doftticka
Gränsticka
Ostticka
Doftskinn
Rosenticka
Rynkskinn</t>
        </is>
      </c>
      <c r="W14">
        <f>HYPERLINK("https://klasma.github.io/Logging_FORSKNINGSRESAN_2026_ARJEPLOG/artfynd/Muörkienåjvvie artfynd.xlsx", "Muörkienåjvvie")</f>
        <v/>
      </c>
      <c r="X14">
        <f>HYPERLINK("https://klasma.github.io/Logging_FORSKNINGSRESAN_2026_ARJEPLOG/kartor/Muörkienåjvvie karta.png", "Muörkienåjvvie")</f>
        <v/>
      </c>
      <c r="Y14">
        <f>HYPERLINK("https://klasma.github.io/Logging_FORSKNINGSRESAN_2026_ARJEPLOG/kartor_geotiff/Muörkienåjvvie georefererad karta.tif", "Muörkienåjvvie")</f>
        <v/>
      </c>
      <c r="AA14">
        <f>HYPERLINK("https://klasma.github.io/Logging_FORSKNINGSRESAN_2026_ARJEPLOG/klagomål/Muörkienåjvvie FSC-klagomål.docx", "Muörkienåjvvie")</f>
        <v/>
      </c>
      <c r="AB14">
        <f>HYPERLINK("https://klasma.github.io/Logging_FORSKNINGSRESAN_2026_ARJEPLOG/klagomålsmail/Muörkienåjvvie FSC-klagomål mail.docx", "Muörkienåjvvie")</f>
        <v/>
      </c>
      <c r="AC14">
        <f>HYPERLINK("https://klasma.github.io/Logging_FORSKNINGSRESAN_2026_ARJEPLOG/tillsyn/Muörkienåjvvie tillsynsbegäran.docx", "Muörkienåjvvie")</f>
        <v/>
      </c>
      <c r="AD14">
        <f>HYPERLINK("https://klasma.github.io/Logging_FORSKNINGSRESAN_2026_ARJEPLOG/tillsynsmail/Muörkienåjvvie tillsynsbegäran mail.docx", "Muörkienåjvvie")</f>
        <v/>
      </c>
      <c r="AF14" t="inlineStr">
        <is>
          <t>Bom slutar vid järnvägen, blir lång väg att gå. Kan man gå norrifrån?</t>
        </is>
      </c>
      <c r="AG14" t="n">
        <v>2</v>
      </c>
      <c r="AH14" t="inlineStr">
        <is>
          <t>Privat</t>
        </is>
      </c>
      <c r="AI14" t="n">
        <v/>
      </c>
      <c r="AJ14" t="n">
        <v/>
      </c>
    </row>
    <row r="15" ht="15" customHeight="1">
      <c r="A15" t="inlineStr">
        <is>
          <t>Maskaure Mullholm avvanm, 39,6 ha</t>
        </is>
      </c>
      <c r="B15" t="inlineStr">
        <is>
          <t>inventeringsområde</t>
        </is>
      </c>
      <c r="D15" s="1" t="n">
        <v>46223</v>
      </c>
      <c r="E15" s="1" t="n">
        <v>46248</v>
      </c>
      <c r="F15" t="inlineStr">
        <is>
          <t>Norrbottens län</t>
        </is>
      </c>
      <c r="G15" t="inlineStr">
        <is>
          <t>Arjeplog</t>
        </is>
      </c>
      <c r="I15" t="n">
        <v>39.6</v>
      </c>
      <c r="J15" t="n">
        <v>2</v>
      </c>
      <c r="K15" t="n">
        <v>1</v>
      </c>
      <c r="L15" t="n">
        <v>4</v>
      </c>
      <c r="M15" t="n">
        <v>1</v>
      </c>
      <c r="N15" t="n">
        <v>0</v>
      </c>
      <c r="O15" t="n">
        <v>0</v>
      </c>
      <c r="P15" t="n">
        <v>0</v>
      </c>
      <c r="Q15" t="n">
        <v>5</v>
      </c>
      <c r="R15" t="n">
        <v>1</v>
      </c>
      <c r="S15" t="n">
        <v>6</v>
      </c>
      <c r="T15" t="n">
        <v>16</v>
      </c>
      <c r="U15" t="n">
        <v>0</v>
      </c>
      <c r="V15" s="2" t="inlineStr">
        <is>
          <t>Fläckporing
Blanksvart spiklav
Drillsnäppa
Dvärgbägarlav
Vedskivlav
Plattlummer</t>
        </is>
      </c>
      <c r="W15">
        <f>HYPERLINK("https://klasma.github.io/Logging_FORSKNINGSRESAN_2026_ARJEPLOG/artfynd/Maskaure Mullholm avvanm, 39,6 ha artfynd.xlsx", "Maskaure Mullholm avvanm, 39,6 ha")</f>
        <v/>
      </c>
      <c r="X15">
        <f>HYPERLINK("https://klasma.github.io/Logging_FORSKNINGSRESAN_2026_ARJEPLOG/kartor/Maskaure Mullholm avvanm, 39,6 ha karta.png", "Maskaure Mullholm avvanm, 39,6 ha")</f>
        <v/>
      </c>
      <c r="Y15">
        <f>HYPERLINK("https://klasma.github.io/Logging_FORSKNINGSRESAN_2026_ARJEPLOG/kartor_geotiff/Maskaure Mullholm avvanm, 39,6 ha georefererad karta.tif", "Maskaure Mullholm avvanm, 39,6 ha")</f>
        <v/>
      </c>
      <c r="AA15">
        <f>HYPERLINK("https://klasma.github.io/Logging_FORSKNINGSRESAN_2026_ARJEPLOG/klagomål/Maskaure Mullholm avvanm, 39,6 ha FSC-klagomål.docx", "Maskaure Mullholm avvanm, 39,6 ha")</f>
        <v/>
      </c>
      <c r="AB15">
        <f>HYPERLINK("https://klasma.github.io/Logging_FORSKNINGSRESAN_2026_ARJEPLOG/klagomålsmail/Maskaure Mullholm avvanm, 39,6 ha FSC-klagomål mail.docx", "Maskaure Mullholm avvanm, 39,6 ha")</f>
        <v/>
      </c>
      <c r="AC15">
        <f>HYPERLINK("https://klasma.github.io/Logging_FORSKNINGSRESAN_2026_ARJEPLOG/tillsyn/Maskaure Mullholm avvanm, 39,6 ha tillsynsbegäran.docx", "Maskaure Mullholm avvanm, 39,6 ha")</f>
        <v/>
      </c>
      <c r="AD15">
        <f>HYPERLINK("https://klasma.github.io/Logging_FORSKNINGSRESAN_2026_ARJEPLOG/tillsynsmail/Maskaure Mullholm avvanm, 39,6 ha tillsynsbegäran mail.docx", "Maskaure Mullholm avvanm, 39,6 ha")</f>
        <v/>
      </c>
      <c r="AE15">
        <f>HYPERLINK("https://klasma.github.io/Logging_FORSKNINGSRESAN_2026_ARJEPLOG/fåglar/Maskaure Mullholm avvanm, 39,6 ha prioriterade fågelarter.docx", "Maskaure Mullholm avvanm, 39,6 ha")</f>
        <v/>
      </c>
      <c r="AF15" t="inlineStr">
        <is>
          <t>avvanm på en ö, skjuts över med båt</t>
        </is>
      </c>
      <c r="AG15" t="n">
        <v>1</v>
      </c>
      <c r="AH15" t="inlineStr">
        <is>
          <t>Privat</t>
        </is>
      </c>
      <c r="AI15" t="inlineStr">
        <is>
          <t>Ons: Gr 2 (prio 1)</t>
        </is>
      </c>
      <c r="AJ15" t="inlineStr">
        <is>
          <t>A 34430-2025</t>
        </is>
      </c>
    </row>
    <row r="16" ht="15" customHeight="1">
      <c r="A16" t="inlineStr">
        <is>
          <t>Sotträskliden</t>
        </is>
      </c>
      <c r="B16" t="inlineStr">
        <is>
          <t>inventeringsområde</t>
        </is>
      </c>
      <c r="D16" s="1" t="n">
        <v>46223</v>
      </c>
      <c r="E16" s="1" t="n">
        <v>46248</v>
      </c>
      <c r="F16" t="inlineStr">
        <is>
          <t>Norrbottens län</t>
        </is>
      </c>
      <c r="G16" t="inlineStr">
        <is>
          <t>Arvidsjaur</t>
        </is>
      </c>
      <c r="I16" t="n">
        <v>6.5</v>
      </c>
      <c r="J16" t="n">
        <v>1</v>
      </c>
      <c r="K16" t="n">
        <v>2</v>
      </c>
      <c r="L16" t="n">
        <v>1</v>
      </c>
      <c r="M16" t="n">
        <v>1</v>
      </c>
      <c r="N16" t="n">
        <v>0</v>
      </c>
      <c r="O16" t="n">
        <v>0</v>
      </c>
      <c r="P16" t="n">
        <v>0</v>
      </c>
      <c r="Q16" t="n">
        <v>2</v>
      </c>
      <c r="R16" t="n">
        <v>1</v>
      </c>
      <c r="S16" t="n">
        <v>4</v>
      </c>
      <c r="T16" t="n">
        <v>8</v>
      </c>
      <c r="U16" t="n">
        <v>0</v>
      </c>
      <c r="V16" s="2" t="inlineStr">
        <is>
          <t>Garnlav
Gammelgransskål
Korallrot
Mörk husmossa</t>
        </is>
      </c>
      <c r="W16">
        <f>HYPERLINK("https://klasma.github.io/Logging_FORSKNINGSRESAN_2026_ARJEPLOG/artfynd/Sotträskliden artfynd.xlsx", "Sotträskliden")</f>
        <v/>
      </c>
      <c r="X16">
        <f>HYPERLINK("https://klasma.github.io/Logging_FORSKNINGSRESAN_2026_ARJEPLOG/kartor/Sotträskliden karta.png", "Sotträskliden")</f>
        <v/>
      </c>
      <c r="Y16">
        <f>HYPERLINK("https://klasma.github.io/Logging_FORSKNINGSRESAN_2026_ARJEPLOG/kartor_geotiff/Sotträskliden georefererad karta.tif", "Sotträskliden")</f>
        <v/>
      </c>
      <c r="AA16">
        <f>HYPERLINK("https://klasma.github.io/Logging_FORSKNINGSRESAN_2026_ARJEPLOG/klagomål/Sotträskliden FSC-klagomål.docx", "Sotträskliden")</f>
        <v/>
      </c>
      <c r="AB16">
        <f>HYPERLINK("https://klasma.github.io/Logging_FORSKNINGSRESAN_2026_ARJEPLOG/klagomålsmail/Sotträskliden FSC-klagomål mail.docx", "Sotträskliden")</f>
        <v/>
      </c>
      <c r="AC16">
        <f>HYPERLINK("https://klasma.github.io/Logging_FORSKNINGSRESAN_2026_ARJEPLOG/tillsyn/Sotträskliden tillsynsbegäran.docx", "Sotträskliden")</f>
        <v/>
      </c>
      <c r="AD16">
        <f>HYPERLINK("https://klasma.github.io/Logging_FORSKNINGSRESAN_2026_ARJEPLOG/tillsynsmail/Sotträskliden tillsynsbegäran mail.docx", "Sotträskliden")</f>
        <v/>
      </c>
      <c r="AF16" t="inlineStr">
        <is>
          <t>1 h körning</t>
        </is>
      </c>
      <c r="AG16" t="n">
        <v>2</v>
      </c>
      <c r="AH16" t="inlineStr">
        <is>
          <t>Privat</t>
        </is>
      </c>
      <c r="AI16" t="n">
        <v/>
      </c>
      <c r="AJ16" t="n">
        <v/>
      </c>
    </row>
    <row r="17" ht="15" customHeight="1">
      <c r="A17" t="inlineStr">
        <is>
          <t>Maskaure 12</t>
        </is>
      </c>
      <c r="B17" t="inlineStr">
        <is>
          <t>inventeringsområde</t>
        </is>
      </c>
      <c r="D17" s="1" t="n">
        <v>46223</v>
      </c>
      <c r="E17" s="1" t="n">
        <v>46248</v>
      </c>
      <c r="F17" t="inlineStr">
        <is>
          <t>Norrbottens län</t>
        </is>
      </c>
      <c r="G17" t="inlineStr">
        <is>
          <t>Arjeplog</t>
        </is>
      </c>
      <c r="H17" t="inlineStr">
        <is>
          <t>Sveaskog</t>
        </is>
      </c>
      <c r="I17" t="n">
        <v>4.8</v>
      </c>
      <c r="J17" t="n">
        <v>0</v>
      </c>
      <c r="K17" t="n">
        <v>0</v>
      </c>
      <c r="L17" t="n">
        <v>1</v>
      </c>
      <c r="M17" t="n">
        <v>2</v>
      </c>
      <c r="N17" t="n">
        <v>0</v>
      </c>
      <c r="O17" t="n">
        <v>0</v>
      </c>
      <c r="P17" t="n">
        <v>0</v>
      </c>
      <c r="Q17" t="n">
        <v>3</v>
      </c>
      <c r="R17" t="n">
        <v>2</v>
      </c>
      <c r="S17" t="n">
        <v>3</v>
      </c>
      <c r="T17" t="n">
        <v>3</v>
      </c>
      <c r="U17" t="n">
        <v>0</v>
      </c>
      <c r="V17" s="2" t="inlineStr">
        <is>
          <t>Garnlav
Gränsticka
Vedtrappmossa</t>
        </is>
      </c>
      <c r="W17">
        <f>HYPERLINK("https://klasma.github.io/Logging_FORSKNINGSRESAN_2026_ARJEPLOG/artfynd/Maskaure 12 artfynd.xlsx", "Maskaure 12")</f>
        <v/>
      </c>
      <c r="X17">
        <f>HYPERLINK("https://klasma.github.io/Logging_FORSKNINGSRESAN_2026_ARJEPLOG/kartor/Maskaure 12 karta.png", "Maskaure 12")</f>
        <v/>
      </c>
      <c r="Y17">
        <f>HYPERLINK("https://klasma.github.io/Logging_FORSKNINGSRESAN_2026_ARJEPLOG/kartor_geotiff/Maskaure 12 georefererad karta.tif", "Maskaure 12")</f>
        <v/>
      </c>
      <c r="AA17">
        <f>HYPERLINK("https://klasma.github.io/Logging_FORSKNINGSRESAN_2026_ARJEPLOG/klagomål/Maskaure 12 FSC-klagomål.docx", "Maskaure 12")</f>
        <v/>
      </c>
      <c r="AB17">
        <f>HYPERLINK("https://klasma.github.io/Logging_FORSKNINGSRESAN_2026_ARJEPLOG/klagomålsmail/Maskaure 12 FSC-klagomål mail.docx", "Maskaure 12")</f>
        <v/>
      </c>
      <c r="AC17">
        <f>HYPERLINK("https://klasma.github.io/Logging_FORSKNINGSRESAN_2026_ARJEPLOG/tillsyn/Maskaure 12 tillsynsbegäran.docx", "Maskaure 12")</f>
        <v/>
      </c>
      <c r="AD17">
        <f>HYPERLINK("https://klasma.github.io/Logging_FORSKNINGSRESAN_2026_ARJEPLOG/tillsynsmail/Maskaure 12 tillsynsbegäran mail.docx", "Maskaure 12")</f>
        <v/>
      </c>
      <c r="AF17" t="n">
        <v/>
      </c>
      <c r="AG17" t="n">
        <v>1</v>
      </c>
      <c r="AH17" t="inlineStr">
        <is>
          <t>Sveaskog</t>
        </is>
      </c>
      <c r="AI17" t="n">
        <v/>
      </c>
      <c r="AJ17" t="n">
        <v/>
      </c>
    </row>
    <row r="18" ht="15" customHeight="1">
      <c r="A18" t="inlineStr">
        <is>
          <t>Björnberget Laisvall N avvanm</t>
        </is>
      </c>
      <c r="B18" t="inlineStr">
        <is>
          <t>inventeringsområde</t>
        </is>
      </c>
      <c r="D18" s="1" t="n">
        <v>46223</v>
      </c>
      <c r="E18" s="1" t="n">
        <v>46248</v>
      </c>
      <c r="F18" t="inlineStr">
        <is>
          <t>Norrbottens län</t>
        </is>
      </c>
      <c r="G18" t="inlineStr">
        <is>
          <t>Arjeplog</t>
        </is>
      </c>
      <c r="I18" t="n">
        <v>48</v>
      </c>
      <c r="J18" t="n">
        <v>1</v>
      </c>
      <c r="K18" t="n">
        <v>1</v>
      </c>
      <c r="L18" t="n">
        <v>2</v>
      </c>
      <c r="M18" t="n">
        <v>0</v>
      </c>
      <c r="N18" t="n">
        <v>0</v>
      </c>
      <c r="O18" t="n">
        <v>0</v>
      </c>
      <c r="P18" t="n">
        <v>0</v>
      </c>
      <c r="Q18" t="n">
        <v>2</v>
      </c>
      <c r="R18" t="n">
        <v>0</v>
      </c>
      <c r="S18" t="n">
        <v>3</v>
      </c>
      <c r="T18" t="n">
        <v>3</v>
      </c>
      <c r="U18" t="n">
        <v>0</v>
      </c>
      <c r="V18" s="2" t="inlineStr">
        <is>
          <t>Lunglav
Tretåig hackspett
Ögonpyrola</t>
        </is>
      </c>
      <c r="W18">
        <f>HYPERLINK("https://klasma.github.io/Logging_FORSKNINGSRESAN_2026_ARJEPLOG/artfynd/Björnberget Laisvall N avvanm artfynd.xlsx", "Björnberget Laisvall N avvanm")</f>
        <v/>
      </c>
      <c r="X18">
        <f>HYPERLINK("https://klasma.github.io/Logging_FORSKNINGSRESAN_2026_ARJEPLOG/kartor/Björnberget Laisvall N avvanm karta.png", "Björnberget Laisvall N avvanm")</f>
        <v/>
      </c>
      <c r="Y18">
        <f>HYPERLINK("https://klasma.github.io/Logging_FORSKNINGSRESAN_2026_ARJEPLOG/kartor_geotiff/Björnberget Laisvall N avvanm georefererad karta.tif", "Björnberget Laisvall N avvanm")</f>
        <v/>
      </c>
      <c r="AA18">
        <f>HYPERLINK("https://klasma.github.io/Logging_FORSKNINGSRESAN_2026_ARJEPLOG/klagomål/Björnberget Laisvall N avvanm FSC-klagomål.docx", "Björnberget Laisvall N avvanm")</f>
        <v/>
      </c>
      <c r="AB18">
        <f>HYPERLINK("https://klasma.github.io/Logging_FORSKNINGSRESAN_2026_ARJEPLOG/klagomålsmail/Björnberget Laisvall N avvanm FSC-klagomål mail.docx", "Björnberget Laisvall N avvanm")</f>
        <v/>
      </c>
      <c r="AC18">
        <f>HYPERLINK("https://klasma.github.io/Logging_FORSKNINGSRESAN_2026_ARJEPLOG/tillsyn/Björnberget Laisvall N avvanm tillsynsbegäran.docx", "Björnberget Laisvall N avvanm")</f>
        <v/>
      </c>
      <c r="AD18">
        <f>HYPERLINK("https://klasma.github.io/Logging_FORSKNINGSRESAN_2026_ARJEPLOG/tillsynsmail/Björnberget Laisvall N avvanm tillsynsbegäran mail.docx", "Björnberget Laisvall N avvanm")</f>
        <v/>
      </c>
      <c r="AE18">
        <f>HYPERLINK("https://klasma.github.io/Logging_FORSKNINGSRESAN_2026_ARJEPLOG/fåglar/Björnberget Laisvall N avvanm prioriterade fågelarter.docx", "Björnberget Laisvall N avvanm")</f>
        <v/>
      </c>
      <c r="AF18" t="inlineStr">
        <is>
          <t>Avvanm, fin</t>
        </is>
      </c>
      <c r="AG18" t="n">
        <v>1</v>
      </c>
      <c r="AH18" t="inlineStr">
        <is>
          <t>Privat</t>
        </is>
      </c>
      <c r="AI18" t="n">
        <v/>
      </c>
      <c r="AJ18" t="inlineStr">
        <is>
          <t>A 15171-2022</t>
        </is>
      </c>
    </row>
    <row r="19" ht="15" customHeight="1">
      <c r="A19" t="inlineStr">
        <is>
          <t>Maskaure 14</t>
        </is>
      </c>
      <c r="B19" t="inlineStr">
        <is>
          <t>inventeringsområde</t>
        </is>
      </c>
      <c r="D19" s="1" t="n">
        <v>46223</v>
      </c>
      <c r="E19" s="1" t="n">
        <v>46248</v>
      </c>
      <c r="F19" t="inlineStr">
        <is>
          <t>Norrbottens län</t>
        </is>
      </c>
      <c r="G19" t="inlineStr">
        <is>
          <t>Arjeplog</t>
        </is>
      </c>
      <c r="H19" t="inlineStr">
        <is>
          <t>Sveaskog</t>
        </is>
      </c>
      <c r="I19" t="n">
        <v>13.3</v>
      </c>
      <c r="J19" t="n">
        <v>0</v>
      </c>
      <c r="K19" t="n">
        <v>0</v>
      </c>
      <c r="L19" t="n">
        <v>1</v>
      </c>
      <c r="M19" t="n">
        <v>0</v>
      </c>
      <c r="N19" t="n">
        <v>0</v>
      </c>
      <c r="O19" t="n">
        <v>0</v>
      </c>
      <c r="P19" t="n">
        <v>0</v>
      </c>
      <c r="Q19" t="n">
        <v>1</v>
      </c>
      <c r="R19" t="n">
        <v>0</v>
      </c>
      <c r="S19" t="n">
        <v>1</v>
      </c>
      <c r="T19" t="n">
        <v>1</v>
      </c>
      <c r="U19" t="n">
        <v>0</v>
      </c>
      <c r="V19" s="2" t="inlineStr">
        <is>
          <t>Knottrig blåslav</t>
        </is>
      </c>
      <c r="W19">
        <f>HYPERLINK("https://klasma.github.io/Logging_FORSKNINGSRESAN_2026_ARJEPLOG/artfynd/Maskaure 14 artfynd.xlsx", "Maskaure 14")</f>
        <v/>
      </c>
      <c r="X19">
        <f>HYPERLINK("https://klasma.github.io/Logging_FORSKNINGSRESAN_2026_ARJEPLOG/kartor/Maskaure 14 karta.png", "Maskaure 14")</f>
        <v/>
      </c>
      <c r="Y19">
        <f>HYPERLINK("https://klasma.github.io/Logging_FORSKNINGSRESAN_2026_ARJEPLOG/kartor_geotiff/Maskaure 14 georefererad karta.tif", "Maskaure 14")</f>
        <v/>
      </c>
      <c r="AA19">
        <f>HYPERLINK("https://klasma.github.io/Logging_FORSKNINGSRESAN_2026_ARJEPLOG/klagomål/Maskaure 14 FSC-klagomål.docx", "Maskaure 14")</f>
        <v/>
      </c>
      <c r="AB19">
        <f>HYPERLINK("https://klasma.github.io/Logging_FORSKNINGSRESAN_2026_ARJEPLOG/klagomålsmail/Maskaure 14 FSC-klagomål mail.docx", "Maskaure 14")</f>
        <v/>
      </c>
      <c r="AC19">
        <f>HYPERLINK("https://klasma.github.io/Logging_FORSKNINGSRESAN_2026_ARJEPLOG/tillsyn/Maskaure 14 tillsynsbegäran.docx", "Maskaure 14")</f>
        <v/>
      </c>
      <c r="AD19">
        <f>HYPERLINK("https://klasma.github.io/Logging_FORSKNINGSRESAN_2026_ARJEPLOG/tillsynsmail/Maskaure 14 tillsynsbegäran mail.docx", "Maskaure 14")</f>
        <v/>
      </c>
      <c r="AF19" t="n">
        <v/>
      </c>
      <c r="AG19" t="n">
        <v>1</v>
      </c>
      <c r="AH19" t="inlineStr">
        <is>
          <t>Sveaskog</t>
        </is>
      </c>
      <c r="AI19" t="n">
        <v/>
      </c>
      <c r="AJ19" t="n">
        <v/>
      </c>
    </row>
    <row r="20" ht="15" customHeight="1">
      <c r="A20" t="inlineStr">
        <is>
          <t>Maskaure Maddagielas S, 27 ha</t>
        </is>
      </c>
      <c r="B20" t="inlineStr">
        <is>
          <t>inventeringsområde</t>
        </is>
      </c>
      <c r="D20" s="1" t="n">
        <v>46223</v>
      </c>
      <c r="E20" s="1" t="n">
        <v>46248</v>
      </c>
      <c r="F20" t="inlineStr">
        <is>
          <t>Norrbottens län</t>
        </is>
      </c>
      <c r="G20" t="inlineStr">
        <is>
          <t>Arjeplog</t>
        </is>
      </c>
      <c r="H20" t="inlineStr">
        <is>
          <t>Sveaskog</t>
        </is>
      </c>
      <c r="I20" t="n">
        <v>26.3</v>
      </c>
      <c r="J20" t="n">
        <v>0</v>
      </c>
      <c r="K20" t="n">
        <v>0</v>
      </c>
      <c r="L20" t="n">
        <v>1</v>
      </c>
      <c r="M20" t="n">
        <v>0</v>
      </c>
      <c r="N20" t="n">
        <v>0</v>
      </c>
      <c r="O20" t="n">
        <v>0</v>
      </c>
      <c r="P20" t="n">
        <v>0</v>
      </c>
      <c r="Q20" t="n">
        <v>1</v>
      </c>
      <c r="R20" t="n">
        <v>0</v>
      </c>
      <c r="S20" t="n">
        <v>1</v>
      </c>
      <c r="T20" t="n">
        <v>1</v>
      </c>
      <c r="U20" t="n">
        <v>0</v>
      </c>
      <c r="V20" s="2" t="inlineStr">
        <is>
          <t>Ullticka</t>
        </is>
      </c>
      <c r="W20">
        <f>HYPERLINK("https://klasma.github.io/Logging_FORSKNINGSRESAN_2026_ARJEPLOG/artfynd/Maskaure Maddagielas S, 27 ha artfynd.xlsx", "Maskaure Maddagielas S, 27 ha")</f>
        <v/>
      </c>
      <c r="X20">
        <f>HYPERLINK("https://klasma.github.io/Logging_FORSKNINGSRESAN_2026_ARJEPLOG/kartor/Maskaure Maddagielas S, 27 ha karta.png", "Maskaure Maddagielas S, 27 ha")</f>
        <v/>
      </c>
      <c r="Y20">
        <f>HYPERLINK("https://klasma.github.io/Logging_FORSKNINGSRESAN_2026_ARJEPLOG/kartor_geotiff/Maskaure Maddagielas S, 27 ha georefererad karta.tif", "Maskaure Maddagielas S, 27 ha")</f>
        <v/>
      </c>
      <c r="AA20">
        <f>HYPERLINK("https://klasma.github.io/Logging_FORSKNINGSRESAN_2026_ARJEPLOG/klagomål/Maskaure Maddagielas S, 27 ha FSC-klagomål.docx", "Maskaure Maddagielas S, 27 ha")</f>
        <v/>
      </c>
      <c r="AB20">
        <f>HYPERLINK("https://klasma.github.io/Logging_FORSKNINGSRESAN_2026_ARJEPLOG/klagomålsmail/Maskaure Maddagielas S, 27 ha FSC-klagomål mail.docx", "Maskaure Maddagielas S, 27 ha")</f>
        <v/>
      </c>
      <c r="AC20">
        <f>HYPERLINK("https://klasma.github.io/Logging_FORSKNINGSRESAN_2026_ARJEPLOG/tillsyn/Maskaure Maddagielas S, 27 ha tillsynsbegäran.docx", "Maskaure Maddagielas S, 27 ha")</f>
        <v/>
      </c>
      <c r="AD20">
        <f>HYPERLINK("https://klasma.github.io/Logging_FORSKNINGSRESAN_2026_ARJEPLOG/tillsynsmail/Maskaure Maddagielas S, 27 ha tillsynsbegäran mail.docx", "Maskaure Maddagielas S, 27 ha")</f>
        <v/>
      </c>
      <c r="AF20" t="inlineStr">
        <is>
          <t>Samplaneringsområde</t>
        </is>
      </c>
      <c r="AG20" t="n">
        <v/>
      </c>
      <c r="AH20" t="inlineStr">
        <is>
          <t>Sveaskog</t>
        </is>
      </c>
      <c r="AI20" t="inlineStr">
        <is>
          <t>Ons: Gr 4</t>
        </is>
      </c>
      <c r="AJ20" t="n">
        <v/>
      </c>
    </row>
    <row r="21" ht="15" customHeight="1">
      <c r="A21" t="inlineStr">
        <is>
          <t>Maskaure Uddnäs avvanm, 4,6 ha</t>
        </is>
      </c>
      <c r="B21" t="inlineStr">
        <is>
          <t>inventeringsområde</t>
        </is>
      </c>
      <c r="D21" s="1" t="n">
        <v>46223</v>
      </c>
      <c r="E21" s="1" t="n">
        <v>46248</v>
      </c>
      <c r="F21" t="inlineStr">
        <is>
          <t>Norrbottens län</t>
        </is>
      </c>
      <c r="G21" t="inlineStr">
        <is>
          <t>Arjeplog</t>
        </is>
      </c>
      <c r="I21" t="n">
        <v>4.6</v>
      </c>
      <c r="J21" t="n">
        <v>0</v>
      </c>
      <c r="K21" t="n">
        <v>0</v>
      </c>
      <c r="L21" t="n">
        <v>0</v>
      </c>
      <c r="M21" t="n">
        <v>0</v>
      </c>
      <c r="N21" t="n">
        <v>0</v>
      </c>
      <c r="O21" t="n">
        <v>0</v>
      </c>
      <c r="P21" t="n">
        <v>0</v>
      </c>
      <c r="Q21" t="n">
        <v>0</v>
      </c>
      <c r="R21" t="n">
        <v>0</v>
      </c>
      <c r="S21" t="n">
        <v>0</v>
      </c>
      <c r="T21" t="n">
        <v>0</v>
      </c>
      <c r="U21" t="n">
        <v>0</v>
      </c>
      <c r="V21" s="2" t="inlineStr"/>
      <c r="AF21" t="inlineStr">
        <is>
          <t>Barrblandskog med äldre gran, nyckelbiotop, avvanm</t>
        </is>
      </c>
      <c r="AG21" t="n">
        <v>1</v>
      </c>
      <c r="AH21" t="inlineStr">
        <is>
          <t>Privat</t>
        </is>
      </c>
      <c r="AI21" t="inlineStr">
        <is>
          <t>Ons: Gr 3</t>
        </is>
      </c>
      <c r="AJ21" t="inlineStr">
        <is>
          <t>A 37442-2025</t>
        </is>
      </c>
    </row>
    <row r="22" ht="15" customHeight="1">
      <c r="A22" t="inlineStr">
        <is>
          <t>Maskaure Skornjamyran avvanm, 11,2 ha</t>
        </is>
      </c>
      <c r="B22" t="inlineStr">
        <is>
          <t>inventeringsområde</t>
        </is>
      </c>
      <c r="D22" s="1" t="n">
        <v>46223</v>
      </c>
      <c r="E22" s="1" t="n">
        <v>46248</v>
      </c>
      <c r="F22" t="inlineStr">
        <is>
          <t>Norrbottens län</t>
        </is>
      </c>
      <c r="G22" t="inlineStr">
        <is>
          <t>Arjeplog</t>
        </is>
      </c>
      <c r="I22" t="n">
        <v>11.2</v>
      </c>
      <c r="J22" t="n">
        <v>0</v>
      </c>
      <c r="K22" t="n">
        <v>0</v>
      </c>
      <c r="L22" t="n">
        <v>0</v>
      </c>
      <c r="M22" t="n">
        <v>0</v>
      </c>
      <c r="N22" t="n">
        <v>0</v>
      </c>
      <c r="O22" t="n">
        <v>0</v>
      </c>
      <c r="P22" t="n">
        <v>0</v>
      </c>
      <c r="Q22" t="n">
        <v>0</v>
      </c>
      <c r="R22" t="n">
        <v>0</v>
      </c>
      <c r="S22" t="n">
        <v>0</v>
      </c>
      <c r="T22" t="n">
        <v>0</v>
      </c>
      <c r="U22" t="n">
        <v>0</v>
      </c>
      <c r="V22" s="2" t="inlineStr"/>
      <c r="AF22" t="inlineStr">
        <is>
          <t>mest gran, nyckelbiotop, avvanm</t>
        </is>
      </c>
      <c r="AG22" t="n">
        <v>1</v>
      </c>
      <c r="AH22" t="inlineStr">
        <is>
          <t>Privat</t>
        </is>
      </c>
      <c r="AI22" t="inlineStr">
        <is>
          <t>Ons: Gr 3</t>
        </is>
      </c>
      <c r="AJ22" t="inlineStr">
        <is>
          <t>A 45924-2023</t>
        </is>
      </c>
    </row>
    <row r="23" ht="15" customHeight="1">
      <c r="A23" t="inlineStr">
        <is>
          <t>Maskaure Tsågávrrie avvanm, 17,8 ha</t>
        </is>
      </c>
      <c r="B23" t="inlineStr">
        <is>
          <t>inventeringsområde</t>
        </is>
      </c>
      <c r="D23" s="1" t="n">
        <v>46223</v>
      </c>
      <c r="E23" s="1" t="n">
        <v>46248</v>
      </c>
      <c r="F23" t="inlineStr">
        <is>
          <t>Norrbottens län</t>
        </is>
      </c>
      <c r="G23" t="inlineStr">
        <is>
          <t>Arjeplog</t>
        </is>
      </c>
      <c r="I23" t="n">
        <v>17.8</v>
      </c>
      <c r="J23" t="n">
        <v>0</v>
      </c>
      <c r="K23" t="n">
        <v>0</v>
      </c>
      <c r="L23" t="n">
        <v>0</v>
      </c>
      <c r="M23" t="n">
        <v>0</v>
      </c>
      <c r="N23" t="n">
        <v>0</v>
      </c>
      <c r="O23" t="n">
        <v>0</v>
      </c>
      <c r="P23" t="n">
        <v>0</v>
      </c>
      <c r="Q23" t="n">
        <v>0</v>
      </c>
      <c r="R23" t="n">
        <v>0</v>
      </c>
      <c r="S23" t="n">
        <v>0</v>
      </c>
      <c r="T23" t="n">
        <v>0</v>
      </c>
      <c r="U23" t="n">
        <v>0</v>
      </c>
      <c r="V23" s="2" t="inlineStr"/>
      <c r="AF23" t="inlineStr">
        <is>
          <t>avvanm</t>
        </is>
      </c>
      <c r="AG23" t="n">
        <v>1</v>
      </c>
      <c r="AH23" t="inlineStr">
        <is>
          <t>Privat</t>
        </is>
      </c>
      <c r="AI23" t="inlineStr">
        <is>
          <t>Ons: Gr 2 (prio 3)</t>
        </is>
      </c>
      <c r="AJ23" t="inlineStr">
        <is>
          <t>A 64809-2023</t>
        </is>
      </c>
    </row>
    <row r="24" ht="15" customHeight="1">
      <c r="A24" t="inlineStr">
        <is>
          <t>Västra Kikkejaure korsningen Långviken avvanm</t>
        </is>
      </c>
      <c r="B24" t="inlineStr">
        <is>
          <t>inventeringsområde</t>
        </is>
      </c>
      <c r="D24" s="1" t="n">
        <v>46223</v>
      </c>
      <c r="E24" s="1" t="n">
        <v>46248</v>
      </c>
      <c r="F24" t="inlineStr">
        <is>
          <t>Norrbottens län</t>
        </is>
      </c>
      <c r="G24" t="inlineStr">
        <is>
          <t>Arjeplog</t>
        </is>
      </c>
      <c r="H24" t="inlineStr">
        <is>
          <t>Allmännings- och besparingsskogar</t>
        </is>
      </c>
      <c r="I24" t="n">
        <v>25.5</v>
      </c>
      <c r="J24" t="n">
        <v>0</v>
      </c>
      <c r="K24" t="n">
        <v>0</v>
      </c>
      <c r="L24" t="n">
        <v>0</v>
      </c>
      <c r="M24" t="n">
        <v>0</v>
      </c>
      <c r="N24" t="n">
        <v>0</v>
      </c>
      <c r="O24" t="n">
        <v>0</v>
      </c>
      <c r="P24" t="n">
        <v>0</v>
      </c>
      <c r="Q24" t="n">
        <v>0</v>
      </c>
      <c r="R24" t="n">
        <v>0</v>
      </c>
      <c r="S24" t="n">
        <v>0</v>
      </c>
      <c r="T24" t="n">
        <v>0</v>
      </c>
      <c r="U24" t="n">
        <v>0</v>
      </c>
      <c r="V24" s="2" t="inlineStr"/>
      <c r="AF24" t="inlineStr">
        <is>
          <t>avvanm, tallnaturskog med silverved</t>
        </is>
      </c>
      <c r="AG24" t="n">
        <v>1</v>
      </c>
      <c r="AH24" t="inlineStr">
        <is>
          <t>Allmännings- och besparingsskogar</t>
        </is>
      </c>
      <c r="AI24" t="inlineStr">
        <is>
          <t>Tis: Gr 2 (prio 1)</t>
        </is>
      </c>
      <c r="AJ24" t="inlineStr">
        <is>
          <t>A 45924-2023</t>
        </is>
      </c>
    </row>
    <row r="25" ht="15" customHeight="1">
      <c r="A25" t="inlineStr">
        <is>
          <t>Njuöniesvárrie NV avvanm</t>
        </is>
      </c>
      <c r="B25" t="inlineStr">
        <is>
          <t>inventeringsområde</t>
        </is>
      </c>
      <c r="D25" s="1" t="n">
        <v>46223</v>
      </c>
      <c r="E25" s="1" t="n">
        <v>46248</v>
      </c>
      <c r="F25" t="inlineStr">
        <is>
          <t>Norrbottens län</t>
        </is>
      </c>
      <c r="G25" t="inlineStr">
        <is>
          <t>Arjeplog</t>
        </is>
      </c>
      <c r="H25" t="inlineStr">
        <is>
          <t>Allmännings- och besparingsskogar</t>
        </is>
      </c>
      <c r="I25" t="n">
        <v>39.8</v>
      </c>
      <c r="J25" t="n">
        <v>0</v>
      </c>
      <c r="K25" t="n">
        <v>0</v>
      </c>
      <c r="L25" t="n">
        <v>0</v>
      </c>
      <c r="M25" t="n">
        <v>0</v>
      </c>
      <c r="N25" t="n">
        <v>0</v>
      </c>
      <c r="O25" t="n">
        <v>0</v>
      </c>
      <c r="P25" t="n">
        <v>0</v>
      </c>
      <c r="Q25" t="n">
        <v>0</v>
      </c>
      <c r="R25" t="n">
        <v>0</v>
      </c>
      <c r="S25" t="n">
        <v>0</v>
      </c>
      <c r="T25" t="n">
        <v>0</v>
      </c>
      <c r="U25" t="n">
        <v>0</v>
      </c>
      <c r="V25" s="2" t="inlineStr"/>
      <c r="AF25" t="inlineStr">
        <is>
          <t>Barrblandskog, eventuellt bom!! avvanm</t>
        </is>
      </c>
      <c r="AG25" t="n">
        <v>1</v>
      </c>
      <c r="AH25" t="inlineStr">
        <is>
          <t>Allmännings- och besparingsskogar</t>
        </is>
      </c>
      <c r="AI25" t="n">
        <v/>
      </c>
      <c r="AJ25" t="n">
        <v/>
      </c>
    </row>
    <row r="26" ht="15" customHeight="1">
      <c r="A26" t="inlineStr">
        <is>
          <t>Saravallen avvanm</t>
        </is>
      </c>
      <c r="B26" t="inlineStr">
        <is>
          <t>inventeringsområde</t>
        </is>
      </c>
      <c r="D26" s="1" t="n">
        <v>46223</v>
      </c>
      <c r="E26" s="1" t="n">
        <v>46248</v>
      </c>
      <c r="F26" t="inlineStr">
        <is>
          <t>Norrbottens län</t>
        </is>
      </c>
      <c r="G26" t="inlineStr">
        <is>
          <t>Arjeplog</t>
        </is>
      </c>
      <c r="H26" t="inlineStr">
        <is>
          <t>Allmännings- och besparingsskogar</t>
        </is>
      </c>
      <c r="I26" t="n">
        <v>70.40000000000001</v>
      </c>
      <c r="J26" t="n">
        <v>0</v>
      </c>
      <c r="K26" t="n">
        <v>0</v>
      </c>
      <c r="L26" t="n">
        <v>0</v>
      </c>
      <c r="M26" t="n">
        <v>0</v>
      </c>
      <c r="N26" t="n">
        <v>0</v>
      </c>
      <c r="O26" t="n">
        <v>0</v>
      </c>
      <c r="P26" t="n">
        <v>0</v>
      </c>
      <c r="Q26" t="n">
        <v>0</v>
      </c>
      <c r="R26" t="n">
        <v>0</v>
      </c>
      <c r="S26" t="n">
        <v>0</v>
      </c>
      <c r="T26" t="n">
        <v>0</v>
      </c>
      <c r="U26" t="n">
        <v>0</v>
      </c>
      <c r="V26" s="2" t="inlineStr"/>
      <c r="AF26" t="inlineStr">
        <is>
          <t>Fin stavatallskog, eventuellt bom!! avvanm</t>
        </is>
      </c>
      <c r="AG26" t="n">
        <v>1</v>
      </c>
      <c r="AH26" t="inlineStr">
        <is>
          <t>Allmännings- och besparingsskogar</t>
        </is>
      </c>
      <c r="AI26" t="inlineStr">
        <is>
          <t>Tis: Gr 3</t>
        </is>
      </c>
      <c r="AJ26" t="inlineStr">
        <is>
          <t>A 30606-2025</t>
        </is>
      </c>
    </row>
    <row r="27" ht="15" customHeight="1">
      <c r="A27" t="inlineStr">
        <is>
          <t>Muorkenåive-Ássjátj N</t>
        </is>
      </c>
      <c r="B27" t="inlineStr">
        <is>
          <t>inventeringsområde</t>
        </is>
      </c>
      <c r="D27" s="1" t="n">
        <v>46223</v>
      </c>
      <c r="E27" s="1" t="n">
        <v>46248</v>
      </c>
      <c r="F27" t="inlineStr">
        <is>
          <t>Norrbottens län</t>
        </is>
      </c>
      <c r="G27" t="inlineStr">
        <is>
          <t>Arjeplog</t>
        </is>
      </c>
      <c r="I27" t="n">
        <v>111.8</v>
      </c>
      <c r="J27" t="n">
        <v>0</v>
      </c>
      <c r="K27" t="n">
        <v>0</v>
      </c>
      <c r="L27" t="n">
        <v>0</v>
      </c>
      <c r="M27" t="n">
        <v>0</v>
      </c>
      <c r="N27" t="n">
        <v>0</v>
      </c>
      <c r="O27" t="n">
        <v>0</v>
      </c>
      <c r="P27" t="n">
        <v>0</v>
      </c>
      <c r="Q27" t="n">
        <v>0</v>
      </c>
      <c r="R27" t="n">
        <v>0</v>
      </c>
      <c r="S27" t="n">
        <v>0</v>
      </c>
      <c r="T27" t="n">
        <v>0</v>
      </c>
      <c r="U27" t="n">
        <v>0</v>
      </c>
      <c r="V27" s="2" t="inlineStr"/>
      <c r="AF27" t="inlineStr">
        <is>
          <t>Slagit samman Muorkenåive-privat med Assjatj-privat (lilla) till ett objekt efter fältgenomgång. /FF Behöver inte finkamma, men bra att få in några fynd. kommer avvanm hela tiden.</t>
        </is>
      </c>
      <c r="AG27" t="n">
        <v>1</v>
      </c>
      <c r="AH27" t="inlineStr">
        <is>
          <t>Privat</t>
        </is>
      </c>
      <c r="AI27" t="inlineStr">
        <is>
          <t>Dag Gran: Gr 2</t>
        </is>
      </c>
      <c r="AJ27" t="n">
        <v/>
      </c>
    </row>
    <row r="28" ht="15" customHeight="1">
      <c r="A28" t="inlineStr">
        <is>
          <t>Bergmyrarna avvanm</t>
        </is>
      </c>
      <c r="B28" t="inlineStr">
        <is>
          <t>inventeringsområde</t>
        </is>
      </c>
      <c r="D28" s="1" t="n">
        <v>46223</v>
      </c>
      <c r="E28" s="1" t="n">
        <v>46248</v>
      </c>
      <c r="F28" t="inlineStr">
        <is>
          <t>Norrbottens län</t>
        </is>
      </c>
      <c r="G28" t="inlineStr">
        <is>
          <t>Arjeplog</t>
        </is>
      </c>
      <c r="H28" t="inlineStr">
        <is>
          <t>Allmännings- och besparingsskogar</t>
        </is>
      </c>
      <c r="I28" t="n">
        <v>17.7</v>
      </c>
      <c r="J28" t="n">
        <v>0</v>
      </c>
      <c r="K28" t="n">
        <v>0</v>
      </c>
      <c r="L28" t="n">
        <v>0</v>
      </c>
      <c r="M28" t="n">
        <v>0</v>
      </c>
      <c r="N28" t="n">
        <v>0</v>
      </c>
      <c r="O28" t="n">
        <v>0</v>
      </c>
      <c r="P28" t="n">
        <v>0</v>
      </c>
      <c r="Q28" t="n">
        <v>0</v>
      </c>
      <c r="R28" t="n">
        <v>0</v>
      </c>
      <c r="S28" t="n">
        <v>0</v>
      </c>
      <c r="T28" t="n">
        <v>0</v>
      </c>
      <c r="U28" t="n">
        <v>0</v>
      </c>
      <c r="V28" s="2" t="inlineStr"/>
      <c r="AF28" t="inlineStr">
        <is>
          <t>155 år bevskikt, bör inventeras!!</t>
        </is>
      </c>
      <c r="AG28" t="n">
        <v>10</v>
      </c>
      <c r="AH28" t="inlineStr">
        <is>
          <t>Allmännings- och besparingsskogar</t>
        </is>
      </c>
      <c r="AI28" t="n">
        <v/>
      </c>
      <c r="AJ28" t="n">
        <v/>
      </c>
    </row>
    <row r="29" ht="15" customHeight="1">
      <c r="A29" t="inlineStr">
        <is>
          <t>S om Kvarntjärnen</t>
        </is>
      </c>
      <c r="B29" t="inlineStr">
        <is>
          <t>inventeringsområde</t>
        </is>
      </c>
      <c r="D29" s="1" t="n">
        <v>46223</v>
      </c>
      <c r="E29" s="1" t="n">
        <v>46248</v>
      </c>
      <c r="F29" t="inlineStr">
        <is>
          <t>Norrbottens län</t>
        </is>
      </c>
      <c r="G29" t="inlineStr">
        <is>
          <t>Arjeplog</t>
        </is>
      </c>
      <c r="H29" t="inlineStr">
        <is>
          <t>Sveaskog</t>
        </is>
      </c>
      <c r="I29" t="n">
        <v>27.7</v>
      </c>
      <c r="J29" t="n">
        <v>0</v>
      </c>
      <c r="K29" t="n">
        <v>0</v>
      </c>
      <c r="L29" t="n">
        <v>0</v>
      </c>
      <c r="M29" t="n">
        <v>0</v>
      </c>
      <c r="N29" t="n">
        <v>0</v>
      </c>
      <c r="O29" t="n">
        <v>0</v>
      </c>
      <c r="P29" t="n">
        <v>0</v>
      </c>
      <c r="Q29" t="n">
        <v>0</v>
      </c>
      <c r="R29" t="n">
        <v>0</v>
      </c>
      <c r="S29" t="n">
        <v>0</v>
      </c>
      <c r="T29" t="n">
        <v>0</v>
      </c>
      <c r="U29" t="n">
        <v>0</v>
      </c>
      <c r="V29" s="2" t="inlineStr"/>
      <c r="AF29" t="inlineStr">
        <is>
          <t>Ser bra ut från vägen, bom öppen.</t>
        </is>
      </c>
      <c r="AG29" t="n">
        <v>10</v>
      </c>
      <c r="AH29" t="inlineStr">
        <is>
          <t>Sveaskog</t>
        </is>
      </c>
      <c r="AI29" t="inlineStr">
        <is>
          <t>Tis: Gr 2 (prio 3)</t>
        </is>
      </c>
      <c r="AJ29" t="n">
        <v/>
      </c>
    </row>
    <row r="30" ht="15" customHeight="1">
      <c r="A30" t="inlineStr">
        <is>
          <t>Rádnávrrie avvanm</t>
        </is>
      </c>
      <c r="B30" t="inlineStr">
        <is>
          <t>inventeringsområde</t>
        </is>
      </c>
      <c r="D30" s="1" t="n">
        <v>46223</v>
      </c>
      <c r="E30" s="1" t="n">
        <v>46248</v>
      </c>
      <c r="F30" t="inlineStr">
        <is>
          <t>Norrbottens län</t>
        </is>
      </c>
      <c r="G30" t="inlineStr">
        <is>
          <t>Arjeplog</t>
        </is>
      </c>
      <c r="I30" t="n">
        <v>11.3</v>
      </c>
      <c r="J30" t="n">
        <v>0</v>
      </c>
      <c r="K30" t="n">
        <v>0</v>
      </c>
      <c r="L30" t="n">
        <v>0</v>
      </c>
      <c r="M30" t="n">
        <v>0</v>
      </c>
      <c r="N30" t="n">
        <v>0</v>
      </c>
      <c r="O30" t="n">
        <v>0</v>
      </c>
      <c r="P30" t="n">
        <v>0</v>
      </c>
      <c r="Q30" t="n">
        <v>0</v>
      </c>
      <c r="R30" t="n">
        <v>0</v>
      </c>
      <c r="S30" t="n">
        <v>0</v>
      </c>
      <c r="T30" t="n">
        <v>0</v>
      </c>
      <c r="U30" t="n">
        <v>0</v>
      </c>
      <c r="V30" s="2" t="inlineStr"/>
      <c r="AF30" t="inlineStr">
        <is>
          <t>Sandtallskog, avvanm</t>
        </is>
      </c>
      <c r="AG30" t="n">
        <v>2</v>
      </c>
      <c r="AH30" t="inlineStr">
        <is>
          <t>Privat</t>
        </is>
      </c>
      <c r="AI30" t="n">
        <v/>
      </c>
      <c r="AJ30" t="n">
        <v/>
      </c>
    </row>
    <row r="31" ht="15" customHeight="1">
      <c r="A31" t="inlineStr">
        <is>
          <t>Maskaure Maddagielas N, 68,3 ha</t>
        </is>
      </c>
      <c r="B31" t="inlineStr">
        <is>
          <t>inventeringsområde</t>
        </is>
      </c>
      <c r="D31" s="1" t="n">
        <v>46223</v>
      </c>
      <c r="E31" s="1" t="n">
        <v>46248</v>
      </c>
      <c r="F31" t="inlineStr">
        <is>
          <t>Norrbottens län</t>
        </is>
      </c>
      <c r="G31" t="inlineStr">
        <is>
          <t>Arjeplog</t>
        </is>
      </c>
      <c r="H31" t="inlineStr">
        <is>
          <t>Sveaskog</t>
        </is>
      </c>
      <c r="I31" t="n">
        <v>68.2</v>
      </c>
      <c r="J31" t="n">
        <v>0</v>
      </c>
      <c r="K31" t="n">
        <v>0</v>
      </c>
      <c r="L31" t="n">
        <v>0</v>
      </c>
      <c r="M31" t="n">
        <v>0</v>
      </c>
      <c r="N31" t="n">
        <v>0</v>
      </c>
      <c r="O31" t="n">
        <v>0</v>
      </c>
      <c r="P31" t="n">
        <v>0</v>
      </c>
      <c r="Q31" t="n">
        <v>0</v>
      </c>
      <c r="R31" t="n">
        <v>0</v>
      </c>
      <c r="S31" t="n">
        <v>0</v>
      </c>
      <c r="T31" t="n">
        <v>0</v>
      </c>
      <c r="U31" t="n">
        <v>0</v>
      </c>
      <c r="V31" s="2" t="inlineStr"/>
      <c r="AF31" t="inlineStr">
        <is>
          <t>k-skog, tre samplaneringsomr inom ytan, frivilliga avsättningar inom ytan</t>
        </is>
      </c>
      <c r="AG31" t="n">
        <v>1</v>
      </c>
      <c r="AH31" t="inlineStr">
        <is>
          <t>Sveaskog</t>
        </is>
      </c>
      <c r="AI31" t="inlineStr">
        <is>
          <t>Ons: Gr 4</t>
        </is>
      </c>
      <c r="AJ31" t="n">
        <v/>
      </c>
    </row>
    <row r="32" ht="15" customHeight="1">
      <c r="A32" t="inlineStr">
        <is>
          <t>Östansjö NO avvanm</t>
        </is>
      </c>
      <c r="B32" t="inlineStr">
        <is>
          <t>inventeringsområde</t>
        </is>
      </c>
      <c r="D32" s="1" t="n">
        <v>46223</v>
      </c>
      <c r="E32" s="1" t="n">
        <v>46248</v>
      </c>
      <c r="F32" t="inlineStr">
        <is>
          <t>Norrbottens län</t>
        </is>
      </c>
      <c r="G32" t="inlineStr">
        <is>
          <t>Arjeplog</t>
        </is>
      </c>
      <c r="I32" t="n">
        <v>17.2</v>
      </c>
      <c r="J32" t="n">
        <v>0</v>
      </c>
      <c r="K32" t="n">
        <v>0</v>
      </c>
      <c r="L32" t="n">
        <v>0</v>
      </c>
      <c r="M32" t="n">
        <v>0</v>
      </c>
      <c r="N32" t="n">
        <v>0</v>
      </c>
      <c r="O32" t="n">
        <v>0</v>
      </c>
      <c r="P32" t="n">
        <v>0</v>
      </c>
      <c r="Q32" t="n">
        <v>0</v>
      </c>
      <c r="R32" t="n">
        <v>0</v>
      </c>
      <c r="S32" t="n">
        <v>0</v>
      </c>
      <c r="T32" t="n">
        <v>0</v>
      </c>
      <c r="U32" t="n">
        <v>0</v>
      </c>
      <c r="V32" s="2" t="inlineStr"/>
      <c r="AF32" t="inlineStr">
        <is>
          <t>avvanm</t>
        </is>
      </c>
      <c r="AG32" t="n">
        <v>2</v>
      </c>
      <c r="AH32" t="n">
        <v/>
      </c>
      <c r="AI32" t="n">
        <v/>
      </c>
      <c r="AJ32" t="n">
        <v/>
      </c>
    </row>
    <row r="33" ht="15" customHeight="1">
      <c r="A33" t="inlineStr">
        <is>
          <t>Svanvik SO avvanm</t>
        </is>
      </c>
      <c r="B33" t="inlineStr">
        <is>
          <t>inventeringsområde</t>
        </is>
      </c>
      <c r="D33" s="1" t="n">
        <v>46223</v>
      </c>
      <c r="E33" s="1" t="n">
        <v>46248</v>
      </c>
      <c r="F33" t="inlineStr">
        <is>
          <t>Norrbottens län</t>
        </is>
      </c>
      <c r="G33" t="inlineStr">
        <is>
          <t>Arjeplog</t>
        </is>
      </c>
      <c r="I33" t="n">
        <v>12.9</v>
      </c>
      <c r="J33" t="n">
        <v>0</v>
      </c>
      <c r="K33" t="n">
        <v>0</v>
      </c>
      <c r="L33" t="n">
        <v>0</v>
      </c>
      <c r="M33" t="n">
        <v>0</v>
      </c>
      <c r="N33" t="n">
        <v>0</v>
      </c>
      <c r="O33" t="n">
        <v>0</v>
      </c>
      <c r="P33" t="n">
        <v>0</v>
      </c>
      <c r="Q33" t="n">
        <v>0</v>
      </c>
      <c r="R33" t="n">
        <v>0</v>
      </c>
      <c r="S33" t="n">
        <v>0</v>
      </c>
      <c r="T33" t="n">
        <v>0</v>
      </c>
      <c r="U33" t="n">
        <v>0</v>
      </c>
      <c r="V33" s="2" t="inlineStr"/>
      <c r="AF33" t="inlineStr">
        <is>
          <t>Grannaturskog</t>
        </is>
      </c>
      <c r="AG33" t="n">
        <v>1</v>
      </c>
      <c r="AH33" t="inlineStr">
        <is>
          <t>Privat</t>
        </is>
      </c>
      <c r="AI33" t="inlineStr">
        <is>
          <t>Dag Gran: Gr 1 (prio 1)</t>
        </is>
      </c>
      <c r="AJ33" t="n">
        <v/>
      </c>
    </row>
    <row r="34">
      <c r="A34" t="inlineStr">
        <is>
          <t>Bremudden avvanm</t>
        </is>
      </c>
      <c r="B34" t="inlineStr">
        <is>
          <t>inventeringsområde</t>
        </is>
      </c>
      <c r="D34" s="1" t="n">
        <v>46223</v>
      </c>
      <c r="E34" s="1" t="n">
        <v>46248</v>
      </c>
      <c r="F34" t="inlineStr">
        <is>
          <t>Norrbottens län</t>
        </is>
      </c>
      <c r="G34" t="inlineStr">
        <is>
          <t>Arjeplog</t>
        </is>
      </c>
      <c r="I34" t="n">
        <v>19.7</v>
      </c>
      <c r="J34" t="n">
        <v>0</v>
      </c>
      <c r="K34" t="n">
        <v>0</v>
      </c>
      <c r="L34" t="n">
        <v>0</v>
      </c>
      <c r="M34" t="n">
        <v>0</v>
      </c>
      <c r="N34" t="n">
        <v>0</v>
      </c>
      <c r="O34" t="n">
        <v>0</v>
      </c>
      <c r="P34" t="n">
        <v>0</v>
      </c>
      <c r="Q34" t="n">
        <v>0</v>
      </c>
      <c r="R34" t="n">
        <v>0</v>
      </c>
      <c r="S34" t="n">
        <v>0</v>
      </c>
      <c r="T34" t="n">
        <v>0</v>
      </c>
      <c r="U34" t="n">
        <v>0</v>
      </c>
      <c r="V34" s="2" t="inlineStr"/>
      <c r="AF34" t="inlineStr">
        <is>
          <t>avvanm</t>
        </is>
      </c>
      <c r="AG34" t="n">
        <v/>
      </c>
      <c r="AH34" t="inlineStr">
        <is>
          <t>Privat</t>
        </is>
      </c>
      <c r="AI34" t="inlineStr">
        <is>
          <t>Tis: Gr 1 (prio 2)</t>
        </is>
      </c>
      <c r="AJ34" t="inlineStr">
        <is>
          <t>A 24892-2026</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2026-08-14T05:33:15Z</dcterms:created>
  <dcterms:modified xmlns:dcterms="http://purl.org/dc/terms/" xmlns:xsi="http://www.w3.org/2001/XMLSchema-instance" xsi:type="dcterms:W3CDTF">2026-08-14T05:33:15Z</dcterms:modified>
</cp:coreProperties>
</file>