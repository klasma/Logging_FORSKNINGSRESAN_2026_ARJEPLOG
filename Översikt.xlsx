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7</v>
      </c>
      <c r="K2" t="n">
        <v>10</v>
      </c>
      <c r="L2" t="n">
        <v>21</v>
      </c>
      <c r="M2" t="n">
        <v>10</v>
      </c>
      <c r="N2" t="n">
        <v>0</v>
      </c>
      <c r="O2" t="n">
        <v>0</v>
      </c>
      <c r="P2" t="n">
        <v>0</v>
      </c>
      <c r="Q2" t="n">
        <v>31</v>
      </c>
      <c r="R2" t="n">
        <v>10</v>
      </c>
      <c r="S2" t="n">
        <v>47</v>
      </c>
      <c r="T2" t="n">
        <v>177</v>
      </c>
      <c r="U2" t="n">
        <v>177</v>
      </c>
      <c r="V2" s="2" t="inlineStr">
        <is>
          <t>Garnlav
Grantickeporing
Grenlav
Gränsticka
Kristallticka
Lecidea subhumida
Nordlig parasitporing
Ostticka
Sprickporing
Vitskaftad svartspik
Blanksvart spiklav
Blågrå svartspik
Brunklöver
Doftskinn
Dvärgbägarlav
Gammelgransskål
Harticka
Knottrig blåslav
Lavskrika
Liten svartspik
Rosenticka
Rostania pallida
Rynkskinn
Rödbrun blekspik
Skrovellav
Stjärntagging
Talltita
Tretåig hackspett
Ullticka
Vedskivlav
Vitgrynig nållav
Barkticka
Blodticka
Bårdlav
Gulnål
Korallrot
Luddlav
Spindelblomster
Stuplav
Vedticka
Ögonpyrola
Brudborste
Ekbräken
Nordisk stormhatt
Ormbär
Tjäder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Gålggåmisvárre</t>
        </is>
      </c>
      <c r="B3" t="inlineStr">
        <is>
          <t>inventeringsområde</t>
        </is>
      </c>
      <c r="D3" s="1" t="n">
        <v>46223</v>
      </c>
      <c r="E3" s="1" t="n">
        <v>46226</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252</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Saravallen avvanm</t>
        </is>
      </c>
      <c r="B4" t="inlineStr">
        <is>
          <t>inventeringsområde</t>
        </is>
      </c>
      <c r="D4" s="1" t="n">
        <v>46223</v>
      </c>
      <c r="E4" s="1" t="n">
        <v>46226</v>
      </c>
      <c r="F4" t="inlineStr">
        <is>
          <t>Norrbottens län</t>
        </is>
      </c>
      <c r="G4" t="inlineStr">
        <is>
          <t>Arjeplog</t>
        </is>
      </c>
      <c r="H4" t="inlineStr">
        <is>
          <t>Allmännings- och besparingsskogar</t>
        </is>
      </c>
      <c r="I4" t="n">
        <v>70.40000000000001</v>
      </c>
      <c r="J4" t="n">
        <v>8</v>
      </c>
      <c r="K4" t="n">
        <v>10</v>
      </c>
      <c r="L4" t="n">
        <v>25</v>
      </c>
      <c r="M4" t="n">
        <v>6</v>
      </c>
      <c r="N4" t="n">
        <v>0</v>
      </c>
      <c r="O4" t="n">
        <v>0</v>
      </c>
      <c r="P4" t="n">
        <v>0</v>
      </c>
      <c r="Q4" t="n">
        <v>31</v>
      </c>
      <c r="R4" t="n">
        <v>6</v>
      </c>
      <c r="S4" t="n">
        <v>43</v>
      </c>
      <c r="T4" t="n">
        <v>306</v>
      </c>
      <c r="U4" t="n">
        <v>306</v>
      </c>
      <c r="V4"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4">
        <f>HYPERLINK("https://klasma.github.io/Logging_FORSKNINGSRESAN_2026_ARJEPLOG/artfynd/Saravallen avvanm artfynd.xlsx", "Saravallen avvanm")</f>
        <v/>
      </c>
      <c r="X4">
        <f>HYPERLINK("https://klasma.github.io/Logging_FORSKNINGSRESAN_2026_ARJEPLOG/kartor/Saravallen avvanm karta.png", "Saravallen avvanm")</f>
        <v/>
      </c>
      <c r="Y4">
        <f>HYPERLINK("https://klasma.github.io/Logging_FORSKNINGSRESAN_2026_ARJEPLOG/kartor_geotiff/Saravallen avvanm georefererad karta.tif", "Saravallen avvanm")</f>
        <v/>
      </c>
      <c r="Z4">
        <f>HYPERLINK("https://klasma.github.io/Logging_FORSKNINGSRESAN_2026_ARJEPLOG/knärot/Saravallen avvanm karta knärot.png", "Saravallen avvanm")</f>
        <v/>
      </c>
      <c r="AA4">
        <f>HYPERLINK("https://klasma.github.io/Logging_FORSKNINGSRESAN_2026_ARJEPLOG/klagomål/Saravallen avvanm FSC-klagomål.docx", "Saravallen avvanm")</f>
        <v/>
      </c>
      <c r="AB4">
        <f>HYPERLINK("https://klasma.github.io/Logging_FORSKNINGSRESAN_2026_ARJEPLOG/klagomålsmail/Saravallen avvanm FSC-klagomål mail.docx", "Saravallen avvanm")</f>
        <v/>
      </c>
      <c r="AC4">
        <f>HYPERLINK("https://klasma.github.io/Logging_FORSKNINGSRESAN_2026_ARJEPLOG/tillsyn/Saravallen avvanm tillsynsbegäran.docx", "Saravallen avvanm")</f>
        <v/>
      </c>
      <c r="AD4">
        <f>HYPERLINK("https://klasma.github.io/Logging_FORSKNINGSRESAN_2026_ARJEPLOG/tillsynsmail/Saravallen avvanm tillsynsbegäran mail.docx", "Saravallen avvanm")</f>
        <v/>
      </c>
      <c r="AE4">
        <f>HYPERLINK("https://klasma.github.io/Logging_FORSKNINGSRESAN_2026_ARJEPLOG/fåglar/Saravallen avvanm prioriterade fågelarter.docx", "Saravallen avvanm")</f>
        <v/>
      </c>
      <c r="AF4" t="inlineStr">
        <is>
          <t>Fin stavatallskog, eventuellt bom!! avvanm</t>
        </is>
      </c>
      <c r="AG4" t="n">
        <v>1</v>
      </c>
      <c r="AH4" t="inlineStr">
        <is>
          <t>Allmännings- och besparingsskogar</t>
        </is>
      </c>
      <c r="AI4" t="inlineStr">
        <is>
          <t>Tis: Gr 3</t>
        </is>
      </c>
      <c r="AJ4" t="inlineStr">
        <is>
          <t>A 30606-2025</t>
        </is>
      </c>
    </row>
    <row r="5" ht="15" customHeight="1">
      <c r="A5" t="inlineStr">
        <is>
          <t>Maskaure Maddagielas N, 68,3 ha</t>
        </is>
      </c>
      <c r="B5" t="inlineStr">
        <is>
          <t>inventeringsområde</t>
        </is>
      </c>
      <c r="D5" s="1" t="n">
        <v>46223</v>
      </c>
      <c r="E5" s="1" t="n">
        <v>46226</v>
      </c>
      <c r="F5" t="inlineStr">
        <is>
          <t>Norrbottens län</t>
        </is>
      </c>
      <c r="G5" t="inlineStr">
        <is>
          <t>Arjeplog</t>
        </is>
      </c>
      <c r="H5" t="inlineStr">
        <is>
          <t>Sveaskog</t>
        </is>
      </c>
      <c r="I5" t="n">
        <v>68.2</v>
      </c>
      <c r="J5" t="n">
        <v>11</v>
      </c>
      <c r="K5" t="n">
        <v>11</v>
      </c>
      <c r="L5" t="n">
        <v>20</v>
      </c>
      <c r="M5" t="n">
        <v>4</v>
      </c>
      <c r="N5" t="n">
        <v>0</v>
      </c>
      <c r="O5" t="n">
        <v>0</v>
      </c>
      <c r="P5" t="n">
        <v>0</v>
      </c>
      <c r="Q5" t="n">
        <v>24</v>
      </c>
      <c r="R5" t="n">
        <v>4</v>
      </c>
      <c r="S5" t="n">
        <v>41</v>
      </c>
      <c r="T5" t="n">
        <v>191</v>
      </c>
      <c r="U5" t="n">
        <v>188</v>
      </c>
      <c r="V5"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5">
        <f>HYPERLINK("https://klasma.github.io/Logging_FORSKNINGSRESAN_2026_ARJEPLOG/artfynd/Maskaure Maddagielas N, 68,3 ha artfynd.xlsx", "Maskaure Maddagielas N, 68,3 ha")</f>
        <v/>
      </c>
      <c r="X5">
        <f>HYPERLINK("https://klasma.github.io/Logging_FORSKNINGSRESAN_2026_ARJEPLOG/kartor/Maskaure Maddagielas N, 68,3 ha karta.png", "Maskaure Maddagielas N, 68,3 ha")</f>
        <v/>
      </c>
      <c r="Y5">
        <f>HYPERLINK("https://klasma.github.io/Logging_FORSKNINGSRESAN_2026_ARJEPLOG/kartor_geotiff/Maskaure Maddagielas N, 68,3 ha georefererad karta.tif", "Maskaure Maddagielas N, 68,3 ha")</f>
        <v/>
      </c>
      <c r="AA5">
        <f>HYPERLINK("https://klasma.github.io/Logging_FORSKNINGSRESAN_2026_ARJEPLOG/klagomål/Maskaure Maddagielas N, 68,3 ha FSC-klagomål.docx", "Maskaure Maddagielas N, 68,3 ha")</f>
        <v/>
      </c>
      <c r="AB5">
        <f>HYPERLINK("https://klasma.github.io/Logging_FORSKNINGSRESAN_2026_ARJEPLOG/klagomålsmail/Maskaure Maddagielas N, 68,3 ha FSC-klagomål mail.docx", "Maskaure Maddagielas N, 68,3 ha")</f>
        <v/>
      </c>
      <c r="AC5">
        <f>HYPERLINK("https://klasma.github.io/Logging_FORSKNINGSRESAN_2026_ARJEPLOG/tillsyn/Maskaure Maddagielas N, 68,3 ha tillsynsbegäran.docx", "Maskaure Maddagielas N, 68,3 ha")</f>
        <v/>
      </c>
      <c r="AD5">
        <f>HYPERLINK("https://klasma.github.io/Logging_FORSKNINGSRESAN_2026_ARJEPLOG/tillsynsmail/Maskaure Maddagielas N, 68,3 ha tillsynsbegäran mail.docx", "Maskaure Maddagielas N, 68,3 ha")</f>
        <v/>
      </c>
      <c r="AE5">
        <f>HYPERLINK("https://klasma.github.io/Logging_FORSKNINGSRESAN_2026_ARJEPLOG/fåglar/Maskaure Maddagielas N, 68,3 ha prioriterade fågelarter.docx", "Maskaure Maddagielas N, 68,3 ha")</f>
        <v/>
      </c>
      <c r="AF5" t="inlineStr">
        <is>
          <t>k-skog, tre samplaneringsomr inom ytan, frivilliga avsättningar inom ytan</t>
        </is>
      </c>
      <c r="AG5" t="n">
        <v>1</v>
      </c>
      <c r="AH5" t="inlineStr">
        <is>
          <t>Sveaskog</t>
        </is>
      </c>
      <c r="AI5" t="inlineStr">
        <is>
          <t>Ons: Gr 4</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Laisdalen Björkliden</t>
        </is>
      </c>
      <c r="B9" t="inlineStr">
        <is>
          <t>inventeringsområde</t>
        </is>
      </c>
      <c r="D9" s="1" t="n">
        <v>46223</v>
      </c>
      <c r="E9" s="1" t="n">
        <v>46226</v>
      </c>
      <c r="F9" t="inlineStr">
        <is>
          <t>Norrbottens län</t>
        </is>
      </c>
      <c r="G9" t="inlineStr">
        <is>
          <t>Arjeplog</t>
        </is>
      </c>
      <c r="H9" t="inlineStr">
        <is>
          <t>Övriga statliga verk och myndigheter</t>
        </is>
      </c>
      <c r="I9" t="n">
        <v>119.1</v>
      </c>
      <c r="J9" t="n">
        <v>9</v>
      </c>
      <c r="K9" t="n">
        <v>7</v>
      </c>
      <c r="L9" t="n">
        <v>14</v>
      </c>
      <c r="M9" t="n">
        <v>5</v>
      </c>
      <c r="N9" t="n">
        <v>0</v>
      </c>
      <c r="O9" t="n">
        <v>0</v>
      </c>
      <c r="P9" t="n">
        <v>0</v>
      </c>
      <c r="Q9" t="n">
        <v>19</v>
      </c>
      <c r="R9" t="n">
        <v>5</v>
      </c>
      <c r="S9" t="n">
        <v>31</v>
      </c>
      <c r="T9" t="n">
        <v>163</v>
      </c>
      <c r="U9" t="n">
        <v>127</v>
      </c>
      <c r="V9" s="2" t="inlineStr">
        <is>
          <t>Garnlav
Grantickeporing
Gränsticka
Lappticka
Ostticka
Gammelgransskål
Harticka
Knottrig blåslav
Lavskrika
Liten svartspik
Lunglav
Rosenticka
Rödbrun blekspik
Skrovellav
Talltagel
Talltita
Tretåig hackspett
Ullticka
Vitgrynig nållav
Bårdlav
Grönkulla
Luddlav
Plattlummer
Spindelblomster
Stuplav
Trådticka
Ekbräken
Fjällskära
Spillkråka
Tjäder
Brudsporre</t>
        </is>
      </c>
      <c r="W9">
        <f>HYPERLINK("https://klasma.github.io/Logging_FORSKNINGSRESAN_2026_ARJEPLOG/artfynd/Laisdalen Björkliden artfynd.xlsx", "Laisdalen Björkliden")</f>
        <v/>
      </c>
      <c r="X9">
        <f>HYPERLINK("https://klasma.github.io/Logging_FORSKNINGSRESAN_2026_ARJEPLOG/kartor/Laisdalen Björkliden karta.png", "Laisdalen Björkliden")</f>
        <v/>
      </c>
      <c r="Y9">
        <f>HYPERLINK("https://klasma.github.io/Logging_FORSKNINGSRESAN_2026_ARJEPLOG/kartor_geotiff/Laisdalen Björkliden georefererad karta.tif", "Laisdalen Björkliden")</f>
        <v/>
      </c>
      <c r="AA9">
        <f>HYPERLINK("https://klasma.github.io/Logging_FORSKNINGSRESAN_2026_ARJEPLOG/klagomål/Laisdalen Björkliden FSC-klagomål.docx", "Laisdalen Björkliden")</f>
        <v/>
      </c>
      <c r="AB9">
        <f>HYPERLINK("https://klasma.github.io/Logging_FORSKNINGSRESAN_2026_ARJEPLOG/klagomålsmail/Laisdalen Björkliden FSC-klagomål mail.docx", "Laisdalen Björkliden")</f>
        <v/>
      </c>
      <c r="AC9">
        <f>HYPERLINK("https://klasma.github.io/Logging_FORSKNINGSRESAN_2026_ARJEPLOG/tillsyn/Laisdalen Björkliden tillsynsbegäran.docx", "Laisdalen Björkliden")</f>
        <v/>
      </c>
      <c r="AD9">
        <f>HYPERLINK("https://klasma.github.io/Logging_FORSKNINGSRESAN_2026_ARJEPLOG/tillsynsmail/Laisdalen Björkliden tillsynsbegäran mail.docx", "Laisdalen Björkliden")</f>
        <v/>
      </c>
      <c r="AE9">
        <f>HYPERLINK("https://klasma.github.io/Logging_FORSKNINGSRESAN_2026_ARJEPLOG/fåglar/Laisdalen Björkliden prioriterade fågelarter.docx", "Laisdalen Björkliden")</f>
        <v/>
      </c>
      <c r="AF9" t="inlineStr">
        <is>
          <t>Trolig granbränna, mycket gamla sälgar, spridd död ved, delvis inventerad</t>
        </is>
      </c>
      <c r="AG9" t="n">
        <v>1</v>
      </c>
      <c r="AH9" t="inlineStr">
        <is>
          <t>SFV</t>
        </is>
      </c>
      <c r="AI9" t="inlineStr">
        <is>
          <t>Dag Gran: Gr 4</t>
        </is>
      </c>
      <c r="AJ9" t="n">
        <v/>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Maskaure Långmyran SV, 6,8 ha</t>
        </is>
      </c>
      <c r="B15" t="inlineStr">
        <is>
          <t>inventeringsområde</t>
        </is>
      </c>
      <c r="D15" s="1" t="n">
        <v>46223</v>
      </c>
      <c r="E15" s="1" t="n">
        <v>46226</v>
      </c>
      <c r="F15" t="inlineStr">
        <is>
          <t>Norrbottens län</t>
        </is>
      </c>
      <c r="G15" t="inlineStr">
        <is>
          <t>Arjeplog</t>
        </is>
      </c>
      <c r="H15" t="inlineStr">
        <is>
          <t>Sveaskog</t>
        </is>
      </c>
      <c r="I15" t="n">
        <v>6.9</v>
      </c>
      <c r="J15" t="n">
        <v>2</v>
      </c>
      <c r="K15" t="n">
        <v>1</v>
      </c>
      <c r="L15" t="n">
        <v>15</v>
      </c>
      <c r="M15" t="n">
        <v>4</v>
      </c>
      <c r="N15" t="n">
        <v>0</v>
      </c>
      <c r="O15" t="n">
        <v>0</v>
      </c>
      <c r="P15" t="n">
        <v>0</v>
      </c>
      <c r="Q15" t="n">
        <v>19</v>
      </c>
      <c r="R15" t="n">
        <v>4</v>
      </c>
      <c r="S15" t="n">
        <v>22</v>
      </c>
      <c r="T15" t="n">
        <v>57</v>
      </c>
      <c r="U15" t="n">
        <v>49</v>
      </c>
      <c r="V15"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Muorkenåive-Ássjátj S</t>
        </is>
      </c>
      <c r="B16" t="inlineStr">
        <is>
          <t>inventeringsområde</t>
        </is>
      </c>
      <c r="D16" s="1" t="n">
        <v>46223</v>
      </c>
      <c r="E16" s="1" t="n">
        <v>46226</v>
      </c>
      <c r="F16" t="inlineStr">
        <is>
          <t>Norrbottens län</t>
        </is>
      </c>
      <c r="G16" t="inlineStr">
        <is>
          <t>Arjeplog</t>
        </is>
      </c>
      <c r="I16" t="n">
        <v>113.6</v>
      </c>
      <c r="J16" t="n">
        <v>3</v>
      </c>
      <c r="K16" t="n">
        <v>5</v>
      </c>
      <c r="L16" t="n">
        <v>9</v>
      </c>
      <c r="M16" t="n">
        <v>5</v>
      </c>
      <c r="N16" t="n">
        <v>0</v>
      </c>
      <c r="O16" t="n">
        <v>0</v>
      </c>
      <c r="P16" t="n">
        <v>0</v>
      </c>
      <c r="Q16" t="n">
        <v>14</v>
      </c>
      <c r="R16" t="n">
        <v>5</v>
      </c>
      <c r="S16" t="n">
        <v>20</v>
      </c>
      <c r="T16" t="n">
        <v>31</v>
      </c>
      <c r="U16" t="n">
        <v>19</v>
      </c>
      <c r="V16" s="2" t="inlineStr">
        <is>
          <t>Garnlav
Grantickeporing
Gränsticka
Ostticka
Vitskaftad svartspik
Gammelgransskål
Harticka
Knottrig blåslav
Rosenticka
Rynkskinn
Rödbrun blekspik
Tretåig hackspett
Ullticka
Violmussling
Blodticka
Spindelblomster
Stuplav
Trådticka
Ögonpyrola
Revlummer</t>
        </is>
      </c>
      <c r="W16">
        <f>HYPERLINK("https://klasma.github.io/Logging_FORSKNINGSRESAN_2026_ARJEPLOG/artfynd/Muorkenåive-Ássjátj S artfynd.xlsx", "Muorkenåive-Ássjátj S")</f>
        <v/>
      </c>
      <c r="X16">
        <f>HYPERLINK("https://klasma.github.io/Logging_FORSKNINGSRESAN_2026_ARJEPLOG/kartor/Muorkenåive-Ássjátj S karta.png", "Muorkenåive-Ássjátj S")</f>
        <v/>
      </c>
      <c r="Y16">
        <f>HYPERLINK("https://klasma.github.io/Logging_FORSKNINGSRESAN_2026_ARJEPLOG/kartor_geotiff/Muorkenåive-Ássjátj S georefererad karta.tif", "Muorkenåive-Ássjátj S")</f>
        <v/>
      </c>
      <c r="AA16">
        <f>HYPERLINK("https://klasma.github.io/Logging_FORSKNINGSRESAN_2026_ARJEPLOG/klagomål/Muorkenåive-Ássjátj S FSC-klagomål.docx", "Muorkenåive-Ássjátj S")</f>
        <v/>
      </c>
      <c r="AB16">
        <f>HYPERLINK("https://klasma.github.io/Logging_FORSKNINGSRESAN_2026_ARJEPLOG/klagomålsmail/Muorkenåive-Ássjátj S FSC-klagomål mail.docx", "Muorkenåive-Ássjátj S")</f>
        <v/>
      </c>
      <c r="AC16">
        <f>HYPERLINK("https://klasma.github.io/Logging_FORSKNINGSRESAN_2026_ARJEPLOG/tillsyn/Muorkenåive-Ássjátj S tillsynsbegäran.docx", "Muorkenåive-Ássjátj S")</f>
        <v/>
      </c>
      <c r="AD16">
        <f>HYPERLINK("https://klasma.github.io/Logging_FORSKNINGSRESAN_2026_ARJEPLOG/tillsynsmail/Muorkenåive-Ássjátj S tillsynsbegäran mail.docx", "Muorkenåive-Ássjátj S")</f>
        <v/>
      </c>
      <c r="AE16">
        <f>HYPERLINK("https://klasma.github.io/Logging_FORSKNINGSRESAN_2026_ARJEPLOG/fåglar/Muorkenåive-Ássjátj S prioriterade fågelarter.docx", "Muorkenåive-Ássjátj S")</f>
        <v/>
      </c>
      <c r="AF16" t="inlineStr">
        <is>
          <t>Slagit samman Muorkenåive-privat med Assjatj-privat (lilla) till ett objekt efter fältgenomgång. /FF Behöver inte finkamma, men bra att få in några fynd. kommer avvanm hela tiden.</t>
        </is>
      </c>
      <c r="AG16" t="n">
        <v>1</v>
      </c>
      <c r="AH16" t="inlineStr">
        <is>
          <t>Privat</t>
        </is>
      </c>
      <c r="AI16" t="inlineStr">
        <is>
          <t>Dag Gran: Gr 3</t>
        </is>
      </c>
      <c r="AJ16" t="n">
        <v/>
      </c>
    </row>
    <row r="17" ht="15" customHeight="1">
      <c r="A17" t="inlineStr">
        <is>
          <t>Maskaure Mullholm avvanm, 39,6 ha</t>
        </is>
      </c>
      <c r="B17" t="inlineStr">
        <is>
          <t>inventeringsområde</t>
        </is>
      </c>
      <c r="D17" s="1" t="n">
        <v>46223</v>
      </c>
      <c r="E17" s="1" t="n">
        <v>46226</v>
      </c>
      <c r="F17" t="inlineStr">
        <is>
          <t>Norrbottens län</t>
        </is>
      </c>
      <c r="G17" t="inlineStr">
        <is>
          <t>Arjeplog</t>
        </is>
      </c>
      <c r="I17" t="n">
        <v>39.6</v>
      </c>
      <c r="J17" t="n">
        <v>9</v>
      </c>
      <c r="K17" t="n">
        <v>1</v>
      </c>
      <c r="L17" t="n">
        <v>14</v>
      </c>
      <c r="M17" t="n">
        <v>1</v>
      </c>
      <c r="N17" t="n">
        <v>0</v>
      </c>
      <c r="O17" t="n">
        <v>0</v>
      </c>
      <c r="P17" t="n">
        <v>0</v>
      </c>
      <c r="Q17" t="n">
        <v>15</v>
      </c>
      <c r="R17" t="n">
        <v>1</v>
      </c>
      <c r="S17" t="n">
        <v>19</v>
      </c>
      <c r="T17" t="n">
        <v>54</v>
      </c>
      <c r="U17" t="n">
        <v>38</v>
      </c>
      <c r="V17" s="2" t="inlineStr">
        <is>
          <t>Fläckporing
Blanksvart spiklav
Drillsnäppa
Dropptaggsvamp
Duvhök
Dvärgbägarlav
Kortskaftad ärgspik
Lavskrika
Nordtagging
Talltagel
Talltita
Tretåig hackspett
Vedflamlav
Vedskivlav
Älg
Plattlummer
Spillkråka
Tjäder
Havsörn</t>
        </is>
      </c>
      <c r="W17">
        <f>HYPERLINK("https://klasma.github.io/Logging_FORSKNINGSRESAN_2026_ARJEPLOG/artfynd/Maskaure Mullholm avvanm, 39,6 ha artfynd.xlsx", "Maskaure Mullholm avvanm, 39,6 ha")</f>
        <v/>
      </c>
      <c r="X17">
        <f>HYPERLINK("https://klasma.github.io/Logging_FORSKNINGSRESAN_2026_ARJEPLOG/kartor/Maskaure Mullholm avvanm, 39,6 ha karta.png", "Maskaure Mullholm avvanm, 39,6 ha")</f>
        <v/>
      </c>
      <c r="Y17">
        <f>HYPERLINK("https://klasma.github.io/Logging_FORSKNINGSRESAN_2026_ARJEPLOG/kartor_geotiff/Maskaure Mullholm avvanm, 39,6 ha georefererad karta.tif", "Maskaure Mullholm avvanm, 39,6 ha")</f>
        <v/>
      </c>
      <c r="AA17">
        <f>HYPERLINK("https://klasma.github.io/Logging_FORSKNINGSRESAN_2026_ARJEPLOG/klagomål/Maskaure Mullholm avvanm, 39,6 ha FSC-klagomål.docx", "Maskaure Mullholm avvanm, 39,6 ha")</f>
        <v/>
      </c>
      <c r="AB17">
        <f>HYPERLINK("https://klasma.github.io/Logging_FORSKNINGSRESAN_2026_ARJEPLOG/klagomålsmail/Maskaure Mullholm avvanm, 39,6 ha FSC-klagomål mail.docx", "Maskaure Mullholm avvanm, 39,6 ha")</f>
        <v/>
      </c>
      <c r="AC17">
        <f>HYPERLINK("https://klasma.github.io/Logging_FORSKNINGSRESAN_2026_ARJEPLOG/tillsyn/Maskaure Mullholm avvanm, 39,6 ha tillsynsbegäran.docx", "Maskaure Mullholm avvanm, 39,6 ha")</f>
        <v/>
      </c>
      <c r="AD17">
        <f>HYPERLINK("https://klasma.github.io/Logging_FORSKNINGSRESAN_2026_ARJEPLOG/tillsynsmail/Maskaure Mullholm avvanm, 39,6 ha tillsynsbegäran mail.docx", "Maskaure Mullholm avvanm, 39,6 ha")</f>
        <v/>
      </c>
      <c r="AE17">
        <f>HYPERLINK("https://klasma.github.io/Logging_FORSKNINGSRESAN_2026_ARJEPLOG/fåglar/Maskaure Mullholm avvanm, 39,6 ha prioriterade fågelarter.docx", "Maskaure Mullholm avvanm, 39,6 ha")</f>
        <v/>
      </c>
      <c r="AF17" t="inlineStr">
        <is>
          <t>avvanm på en ö, skjuts över med båt</t>
        </is>
      </c>
      <c r="AG17" t="n">
        <v>1</v>
      </c>
      <c r="AH17" t="inlineStr">
        <is>
          <t>Privat</t>
        </is>
      </c>
      <c r="AI17" t="inlineStr">
        <is>
          <t>Ons: Gr 2 (prio 1)</t>
        </is>
      </c>
      <c r="AJ17" t="inlineStr">
        <is>
          <t>A 34430-2025</t>
        </is>
      </c>
    </row>
    <row r="18" ht="15" customHeight="1">
      <c r="A18" t="inlineStr">
        <is>
          <t>Juvtábákte utvidgning S</t>
        </is>
      </c>
      <c r="B18" t="inlineStr">
        <is>
          <t>inventeringsområde</t>
        </is>
      </c>
      <c r="D18" s="1" t="n">
        <v>46223</v>
      </c>
      <c r="E18" s="1" t="n">
        <v>46226</v>
      </c>
      <c r="F18" t="inlineStr">
        <is>
          <t>Norrbottens län</t>
        </is>
      </c>
      <c r="G18" t="inlineStr">
        <is>
          <t>Arjeplog</t>
        </is>
      </c>
      <c r="H18" t="inlineStr">
        <is>
          <t>Övriga statliga verk och myndigheter</t>
        </is>
      </c>
      <c r="I18" t="n">
        <v>143</v>
      </c>
      <c r="J18" t="n">
        <v>9</v>
      </c>
      <c r="K18" t="n">
        <v>4</v>
      </c>
      <c r="L18" t="n">
        <v>9</v>
      </c>
      <c r="M18" t="n">
        <v>0</v>
      </c>
      <c r="N18" t="n">
        <v>0</v>
      </c>
      <c r="O18" t="n">
        <v>0</v>
      </c>
      <c r="P18" t="n">
        <v>0</v>
      </c>
      <c r="Q18" t="n">
        <v>9</v>
      </c>
      <c r="R18" t="n">
        <v>0</v>
      </c>
      <c r="S18" t="n">
        <v>17</v>
      </c>
      <c r="T18" t="n">
        <v>23</v>
      </c>
      <c r="U18" t="n">
        <v>1</v>
      </c>
      <c r="V18" s="2" t="inlineStr">
        <is>
          <t>Blå taggsvamp
Dropptaggsvamp
Lappmes
Lavskrika
Skarp dropptaggsvamp
Stickelfrö
Talltagel
Tretåig hackspett
Ullticka
Nordlig fjädermossa
Plattlummer
Spindelblomster
Ögonpyrola
Mattlummer
Brudsporre
Fläcknycklar
Revlummer</t>
        </is>
      </c>
      <c r="W18">
        <f>HYPERLINK("https://klasma.github.io/Logging_FORSKNINGSRESAN_2026_ARJEPLOG/artfynd/Juvtábákte utvidgning S artfynd.xlsx", "Juvtábákte utvidgning S")</f>
        <v/>
      </c>
      <c r="X18">
        <f>HYPERLINK("https://klasma.github.io/Logging_FORSKNINGSRESAN_2026_ARJEPLOG/kartor/Juvtábákte utvidgning S karta.png", "Juvtábákte utvidgning S")</f>
        <v/>
      </c>
      <c r="Y18">
        <f>HYPERLINK("https://klasma.github.io/Logging_FORSKNINGSRESAN_2026_ARJEPLOG/kartor_geotiff/Juvtábákte utvidgning S georefererad karta.tif", "Juvtábákte utvidgning S")</f>
        <v/>
      </c>
      <c r="AA18">
        <f>HYPERLINK("https://klasma.github.io/Logging_FORSKNINGSRESAN_2026_ARJEPLOG/klagomål/Juvtábákte utvidgning S FSC-klagomål.docx", "Juvtábákte utvidgning S")</f>
        <v/>
      </c>
      <c r="AB18">
        <f>HYPERLINK("https://klasma.github.io/Logging_FORSKNINGSRESAN_2026_ARJEPLOG/klagomålsmail/Juvtábákte utvidgning S FSC-klagomål mail.docx", "Juvtábákte utvidgning S")</f>
        <v/>
      </c>
      <c r="AC18">
        <f>HYPERLINK("https://klasma.github.io/Logging_FORSKNINGSRESAN_2026_ARJEPLOG/tillsyn/Juvtábákte utvidgning S tillsynsbegäran.docx", "Juvtábákte utvidgning S")</f>
        <v/>
      </c>
      <c r="AD18">
        <f>HYPERLINK("https://klasma.github.io/Logging_FORSKNINGSRESAN_2026_ARJEPLOG/tillsynsmail/Juvtábákte utvidgning S tillsynsbegäran mail.docx", "Juvtábákte utvidgning S")</f>
        <v/>
      </c>
      <c r="AE18">
        <f>HYPERLINK("https://klasma.github.io/Logging_FORSKNINGSRESAN_2026_ARJEPLOG/fåglar/Juvtábákte utvidgning S prioriterade fågelarter.docx", "Juvtábákte utvidgning S")</f>
        <v/>
      </c>
      <c r="AF18" t="inlineStr">
        <is>
          <t>Avskrevs på samr.möte 171116. Samr. m SFV gäller ej längre. Inv 2022 + branten på priv.m. Ö om. Viktigt för att få ner reservatet till allmän väg, vilket ökar tillgängligheten. Bytt namn 230314 till ...Silvervägen. /FF Bör ingå i planerat</t>
        </is>
      </c>
      <c r="AG18" t="n">
        <v>2</v>
      </c>
      <c r="AH18" t="inlineStr">
        <is>
          <t>Fastighetsverket</t>
        </is>
      </c>
      <c r="AI18" t="inlineStr">
        <is>
          <t>Tis: Gr 4</t>
        </is>
      </c>
      <c r="AJ18" t="n">
        <v/>
      </c>
    </row>
    <row r="19" ht="15" customHeight="1">
      <c r="A19" t="inlineStr">
        <is>
          <t>Maskaure Myrås avvanm, 5 ha</t>
        </is>
      </c>
      <c r="B19" t="inlineStr">
        <is>
          <t>inventeringsområde</t>
        </is>
      </c>
      <c r="D19" s="1" t="n">
        <v>46223</v>
      </c>
      <c r="E19" s="1" t="n">
        <v>46226</v>
      </c>
      <c r="F19" t="inlineStr">
        <is>
          <t>Norrbottens län</t>
        </is>
      </c>
      <c r="G19" t="inlineStr">
        <is>
          <t>Arjeplog</t>
        </is>
      </c>
      <c r="I19" t="n">
        <v>5</v>
      </c>
      <c r="J19" t="n">
        <v>2</v>
      </c>
      <c r="K19" t="n">
        <v>2</v>
      </c>
      <c r="L19" t="n">
        <v>12</v>
      </c>
      <c r="M19" t="n">
        <v>2</v>
      </c>
      <c r="N19" t="n">
        <v>0</v>
      </c>
      <c r="O19" t="n">
        <v>0</v>
      </c>
      <c r="P19" t="n">
        <v>0</v>
      </c>
      <c r="Q19" t="n">
        <v>14</v>
      </c>
      <c r="R19" t="n">
        <v>2</v>
      </c>
      <c r="S19" t="n">
        <v>16</v>
      </c>
      <c r="T19" t="n">
        <v>52</v>
      </c>
      <c r="U19" t="n">
        <v>37</v>
      </c>
      <c r="V19" s="2" t="inlineStr">
        <is>
          <t>Garnlav
Gränsticka
Blanksvart spiklav
Blågrå svartspik
Dvärgbägarlav
Gammelgransskål
Knottrig blåslav
Kolflarnlav
Kortskaftad ärgspik
Mörk kolflarnlav
Talltagel
Tretåig hackspett
Vedflamlav
Vedskivlav
Spindelblomster
Vedticka</t>
        </is>
      </c>
      <c r="W19">
        <f>HYPERLINK("https://klasma.github.io/Logging_FORSKNINGSRESAN_2026_ARJEPLOG/artfynd/Maskaure Myrås avvanm, 5 ha artfynd.xlsx", "Maskaure Myrås avvanm, 5 ha")</f>
        <v/>
      </c>
      <c r="X19">
        <f>HYPERLINK("https://klasma.github.io/Logging_FORSKNINGSRESAN_2026_ARJEPLOG/kartor/Maskaure Myrås avvanm, 5 ha karta.png", "Maskaure Myrås avvanm, 5 ha")</f>
        <v/>
      </c>
      <c r="Y19">
        <f>HYPERLINK("https://klasma.github.io/Logging_FORSKNINGSRESAN_2026_ARJEPLOG/kartor_geotiff/Maskaure Myrås avvanm, 5 ha georefererad karta.tif", "Maskaure Myrås avvanm, 5 ha")</f>
        <v/>
      </c>
      <c r="AA19">
        <f>HYPERLINK("https://klasma.github.io/Logging_FORSKNINGSRESAN_2026_ARJEPLOG/klagomål/Maskaure Myrås avvanm, 5 ha FSC-klagomål.docx", "Maskaure Myrås avvanm, 5 ha")</f>
        <v/>
      </c>
      <c r="AB19">
        <f>HYPERLINK("https://klasma.github.io/Logging_FORSKNINGSRESAN_2026_ARJEPLOG/klagomålsmail/Maskaure Myrås avvanm, 5 ha FSC-klagomål mail.docx", "Maskaure Myrås avvanm, 5 ha")</f>
        <v/>
      </c>
      <c r="AC19">
        <f>HYPERLINK("https://klasma.github.io/Logging_FORSKNINGSRESAN_2026_ARJEPLOG/tillsyn/Maskaure Myrås avvanm, 5 ha tillsynsbegäran.docx", "Maskaure Myrås avvanm, 5 ha")</f>
        <v/>
      </c>
      <c r="AD19">
        <f>HYPERLINK("https://klasma.github.io/Logging_FORSKNINGSRESAN_2026_ARJEPLOG/tillsynsmail/Maskaure Myrås avvanm, 5 ha tillsynsbegäran mail.docx", "Maskaure Myrås avvanm, 5 ha")</f>
        <v/>
      </c>
      <c r="AE19">
        <f>HYPERLINK("https://klasma.github.io/Logging_FORSKNINGSRESAN_2026_ARJEPLOG/fåglar/Maskaure Myrås avvanm, 5 ha prioriterade fågelarter.docx", "Maskaure Myrås avvanm, 5 ha")</f>
        <v/>
      </c>
      <c r="AF19" t="inlineStr">
        <is>
          <t>avvanm, delvis inventerad</t>
        </is>
      </c>
      <c r="AG19" t="n">
        <v>1</v>
      </c>
      <c r="AH19" t="inlineStr">
        <is>
          <t>Privat</t>
        </is>
      </c>
      <c r="AI19" t="inlineStr">
        <is>
          <t>Ons: Gr 2 (prio 2)</t>
        </is>
      </c>
      <c r="AJ19" t="inlineStr">
        <is>
          <t>A 64837-2023</t>
        </is>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2026-07-23T17:13:12Z</dcterms:created>
  <dcterms:modified xmlns:dcterms="http://purl.org/dc/terms/" xmlns:xsi="http://www.w3.org/2001/XMLSchema-instance" xsi:type="dcterms:W3CDTF">2026-07-23T17:13:12Z</dcterms:modified>
</cp:coreProperties>
</file>