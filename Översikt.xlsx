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8</v>
      </c>
      <c r="K2" t="n">
        <v>14</v>
      </c>
      <c r="L2" t="n">
        <v>23</v>
      </c>
      <c r="M2" t="n">
        <v>10</v>
      </c>
      <c r="N2" t="n">
        <v>0</v>
      </c>
      <c r="O2" t="n">
        <v>0</v>
      </c>
      <c r="P2" t="n">
        <v>0</v>
      </c>
      <c r="Q2" t="n">
        <v>33</v>
      </c>
      <c r="R2" t="n">
        <v>10</v>
      </c>
      <c r="S2" t="n">
        <v>57</v>
      </c>
      <c r="T2" t="n">
        <v>309</v>
      </c>
      <c r="U2" t="n">
        <v>309</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Brudborste
Ekbräken
Humleblomster
Kärrfibbla
Lundarv
Nordisk stormhatt
Ormbär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10</v>
      </c>
      <c r="L3" t="n">
        <v>18</v>
      </c>
      <c r="M3" t="n">
        <v>7</v>
      </c>
      <c r="N3" t="n">
        <v>0</v>
      </c>
      <c r="O3" t="n">
        <v>0</v>
      </c>
      <c r="P3" t="n">
        <v>0</v>
      </c>
      <c r="Q3" t="n">
        <v>25</v>
      </c>
      <c r="R3" t="n">
        <v>7</v>
      </c>
      <c r="S3" t="n">
        <v>48</v>
      </c>
      <c r="T3" t="n">
        <v>359</v>
      </c>
      <c r="U3" t="n">
        <v>323</v>
      </c>
      <c r="V3"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Gålggåmisvárre</t>
        </is>
      </c>
      <c r="B4" t="inlineStr">
        <is>
          <t>inventeringsområde</t>
        </is>
      </c>
      <c r="D4" s="1" t="n">
        <v>46223</v>
      </c>
      <c r="E4" s="1" t="n">
        <v>46226</v>
      </c>
      <c r="F4" t="inlineStr">
        <is>
          <t>Norrbottens län</t>
        </is>
      </c>
      <c r="G4" t="inlineStr">
        <is>
          <t>Arjeplog</t>
        </is>
      </c>
      <c r="H4" t="inlineStr">
        <is>
          <t>Sveaskog</t>
        </is>
      </c>
      <c r="I4" t="n">
        <v>40.1</v>
      </c>
      <c r="J4" t="n">
        <v>9</v>
      </c>
      <c r="K4" t="n">
        <v>11</v>
      </c>
      <c r="L4" t="n">
        <v>21</v>
      </c>
      <c r="M4" t="n">
        <v>6</v>
      </c>
      <c r="N4" t="n">
        <v>0</v>
      </c>
      <c r="O4" t="n">
        <v>0</v>
      </c>
      <c r="P4" t="n">
        <v>0</v>
      </c>
      <c r="Q4" t="n">
        <v>27</v>
      </c>
      <c r="R4" t="n">
        <v>6</v>
      </c>
      <c r="S4" t="n">
        <v>44</v>
      </c>
      <c r="T4" t="n">
        <v>296</v>
      </c>
      <c r="U4" t="n">
        <v>252</v>
      </c>
      <c r="V4"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4">
        <f>HYPERLINK("https://klasma.github.io/Logging_FORSKNINGSRESAN_2026_ARJEPLOG/artfynd/Gålggåmisvárre artfynd.xlsx", "Gålggåmisvárre")</f>
        <v/>
      </c>
      <c r="X4">
        <f>HYPERLINK("https://klasma.github.io/Logging_FORSKNINGSRESAN_2026_ARJEPLOG/kartor/Gålggåmisvárre karta.png", "Gålggåmisvárre")</f>
        <v/>
      </c>
      <c r="Y4">
        <f>HYPERLINK("https://klasma.github.io/Logging_FORSKNINGSRESAN_2026_ARJEPLOG/kartor_geotiff/Gålggåmisvárre georefererad karta.tif", "Gålggåmisvárre")</f>
        <v/>
      </c>
      <c r="AA4">
        <f>HYPERLINK("https://klasma.github.io/Logging_FORSKNINGSRESAN_2026_ARJEPLOG/klagomål/Gålggåmisvárre FSC-klagomål.docx", "Gålggåmisvárre")</f>
        <v/>
      </c>
      <c r="AB4">
        <f>HYPERLINK("https://klasma.github.io/Logging_FORSKNINGSRESAN_2026_ARJEPLOG/klagomålsmail/Gålggåmisvárre FSC-klagomål mail.docx", "Gålggåmisvárre")</f>
        <v/>
      </c>
      <c r="AC4">
        <f>HYPERLINK("https://klasma.github.io/Logging_FORSKNINGSRESAN_2026_ARJEPLOG/tillsyn/Gålggåmisvárre tillsynsbegäran.docx", "Gålggåmisvárre")</f>
        <v/>
      </c>
      <c r="AD4">
        <f>HYPERLINK("https://klasma.github.io/Logging_FORSKNINGSRESAN_2026_ARJEPLOG/tillsynsmail/Gålggåmisvárre tillsynsbegäran mail.docx", "Gålggåmisvárre")</f>
        <v/>
      </c>
      <c r="AE4">
        <f>HYPERLINK("https://klasma.github.io/Logging_FORSKNINGSRESAN_2026_ARJEPLOG/fåglar/Gålggåmisvárre prioriterade fågelarter.docx", "Gålggåmisvárre")</f>
        <v/>
      </c>
      <c r="AF4" t="inlineStr">
        <is>
          <t>delvis inventerad, Naturskyddsföreningen skickat in FSC-klagomål 2024, avvanm tbkdragen</t>
        </is>
      </c>
      <c r="AG4" t="n">
        <v>2</v>
      </c>
      <c r="AH4" t="inlineStr">
        <is>
          <t>?</t>
        </is>
      </c>
      <c r="AI4" t="inlineStr">
        <is>
          <t>Tis: Gr 1 (prio1 )</t>
        </is>
      </c>
      <c r="AJ4" t="n">
        <v/>
      </c>
    </row>
    <row r="5" ht="15" customHeight="1">
      <c r="A5" t="inlineStr">
        <is>
          <t>Saravallen avvanm</t>
        </is>
      </c>
      <c r="B5" t="inlineStr">
        <is>
          <t>inventeringsområde</t>
        </is>
      </c>
      <c r="D5" s="1" t="n">
        <v>46223</v>
      </c>
      <c r="E5" s="1" t="n">
        <v>46226</v>
      </c>
      <c r="F5" t="inlineStr">
        <is>
          <t>Norrbottens län</t>
        </is>
      </c>
      <c r="G5" t="inlineStr">
        <is>
          <t>Arjeplog</t>
        </is>
      </c>
      <c r="H5" t="inlineStr">
        <is>
          <t>Allmännings- och besparingsskogar</t>
        </is>
      </c>
      <c r="I5" t="n">
        <v>70.40000000000001</v>
      </c>
      <c r="J5" t="n">
        <v>8</v>
      </c>
      <c r="K5" t="n">
        <v>10</v>
      </c>
      <c r="L5" t="n">
        <v>25</v>
      </c>
      <c r="M5" t="n">
        <v>6</v>
      </c>
      <c r="N5" t="n">
        <v>0</v>
      </c>
      <c r="O5" t="n">
        <v>0</v>
      </c>
      <c r="P5" t="n">
        <v>0</v>
      </c>
      <c r="Q5" t="n">
        <v>31</v>
      </c>
      <c r="R5" t="n">
        <v>6</v>
      </c>
      <c r="S5" t="n">
        <v>43</v>
      </c>
      <c r="T5" t="n">
        <v>306</v>
      </c>
      <c r="U5" t="n">
        <v>306</v>
      </c>
      <c r="V5"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5">
        <f>HYPERLINK("https://klasma.github.io/Logging_FORSKNINGSRESAN_2026_ARJEPLOG/artfynd/Saravallen avvanm artfynd.xlsx", "Saravallen avvanm")</f>
        <v/>
      </c>
      <c r="X5">
        <f>HYPERLINK("https://klasma.github.io/Logging_FORSKNINGSRESAN_2026_ARJEPLOG/kartor/Saravallen avvanm karta.png", "Saravallen avvanm")</f>
        <v/>
      </c>
      <c r="Y5">
        <f>HYPERLINK("https://klasma.github.io/Logging_FORSKNINGSRESAN_2026_ARJEPLOG/kartor_geotiff/Saravallen avvanm georefererad karta.tif", "Saravallen avvanm")</f>
        <v/>
      </c>
      <c r="Z5">
        <f>HYPERLINK("https://klasma.github.io/Logging_FORSKNINGSRESAN_2026_ARJEPLOG/knärot/Saravallen avvanm karta knärot.png", "Saravallen avvanm")</f>
        <v/>
      </c>
      <c r="AA5">
        <f>HYPERLINK("https://klasma.github.io/Logging_FORSKNINGSRESAN_2026_ARJEPLOG/klagomål/Saravallen avvanm FSC-klagomål.docx", "Saravallen avvanm")</f>
        <v/>
      </c>
      <c r="AB5">
        <f>HYPERLINK("https://klasma.github.io/Logging_FORSKNINGSRESAN_2026_ARJEPLOG/klagomålsmail/Saravallen avvanm FSC-klagomål mail.docx", "Saravallen avvanm")</f>
        <v/>
      </c>
      <c r="AC5">
        <f>HYPERLINK("https://klasma.github.io/Logging_FORSKNINGSRESAN_2026_ARJEPLOG/tillsyn/Saravallen avvanm tillsynsbegäran.docx", "Saravallen avvanm")</f>
        <v/>
      </c>
      <c r="AD5">
        <f>HYPERLINK("https://klasma.github.io/Logging_FORSKNINGSRESAN_2026_ARJEPLOG/tillsynsmail/Saravallen avvanm tillsynsbegäran mail.docx", "Saravallen avvanm")</f>
        <v/>
      </c>
      <c r="AE5">
        <f>HYPERLINK("https://klasma.github.io/Logging_FORSKNINGSRESAN_2026_ARJEPLOG/fåglar/Saravallen avvanm prioriterade fågelarter.docx", "Saravallen avvanm")</f>
        <v/>
      </c>
      <c r="AF5" t="inlineStr">
        <is>
          <t>Fin stavatallskog, eventuellt bom!! avvanm</t>
        </is>
      </c>
      <c r="AG5" t="n">
        <v>1</v>
      </c>
      <c r="AH5" t="inlineStr">
        <is>
          <t>Allmännings- och besparingsskogar</t>
        </is>
      </c>
      <c r="AI5" t="inlineStr">
        <is>
          <t>Tis: Gr 3</t>
        </is>
      </c>
      <c r="AJ5" t="inlineStr">
        <is>
          <t>A 30606-2025</t>
        </is>
      </c>
    </row>
    <row r="6" ht="15" customHeight="1">
      <c r="A6" t="inlineStr">
        <is>
          <t>Muorkenåive-Ássjátj S</t>
        </is>
      </c>
      <c r="B6" t="inlineStr">
        <is>
          <t>inventeringsområde</t>
        </is>
      </c>
      <c r="D6" s="1" t="n">
        <v>46223</v>
      </c>
      <c r="E6" s="1" t="n">
        <v>46226</v>
      </c>
      <c r="F6" t="inlineStr">
        <is>
          <t>Norrbottens län</t>
        </is>
      </c>
      <c r="G6" t="inlineStr">
        <is>
          <t>Arjeplog</t>
        </is>
      </c>
      <c r="I6" t="n">
        <v>113.6</v>
      </c>
      <c r="J6" t="n">
        <v>7</v>
      </c>
      <c r="K6" t="n">
        <v>10</v>
      </c>
      <c r="L6" t="n">
        <v>17</v>
      </c>
      <c r="M6" t="n">
        <v>7</v>
      </c>
      <c r="N6" t="n">
        <v>1</v>
      </c>
      <c r="O6" t="n">
        <v>0</v>
      </c>
      <c r="P6" t="n">
        <v>0</v>
      </c>
      <c r="Q6" t="n">
        <v>25</v>
      </c>
      <c r="R6" t="n">
        <v>8</v>
      </c>
      <c r="S6" t="n">
        <v>42</v>
      </c>
      <c r="T6" t="n">
        <v>183</v>
      </c>
      <c r="U6" t="n">
        <v>171</v>
      </c>
      <c r="V6" s="2" t="inlineStr">
        <is>
          <t>Isabellporing
Bågknotterskinn
Garnlav
Grantickeporing
Gränsticka
Ostticka
Tajgaskinn
Vitskaftad svartspik
Gammelgransskål
Harticka
Knottrig blåslav
Koralltaggsvamp
Kötticka
Lunglav
Rosenticka
Rynkskinn
Rödbrun blekspik
Skrovellav
Talltagel
Talltita
Tretåig hackspett
Ullticka
Violettgrå tagellav
Violmussling
Vitgrynig nållav
Blodticka
Finbräken
Grönkulla
Korallrot
Skinnlav
Spindelblomster
Stuplav
Tibast
Trådticka
Ögonpyrola
Hultbräken
Humleblomster
Kransmossa
Nordisk stormhatt
Torta
Fläcknycklar
Revlummer</t>
        </is>
      </c>
      <c r="W6">
        <f>HYPERLINK("https://klasma.github.io/Logging_FORSKNINGSRESAN_2026_ARJEPLOG/artfynd/Muorkenåive-Ássjátj S artfynd.xlsx", "Muorkenåive-Ássjátj S")</f>
        <v/>
      </c>
      <c r="X6">
        <f>HYPERLINK("https://klasma.github.io/Logging_FORSKNINGSRESAN_2026_ARJEPLOG/kartor/Muorkenåive-Ássjátj S karta.png", "Muorkenåive-Ássjátj S")</f>
        <v/>
      </c>
      <c r="Y6">
        <f>HYPERLINK("https://klasma.github.io/Logging_FORSKNINGSRESAN_2026_ARJEPLOG/kartor_geotiff/Muorkenåive-Ássjátj S georefererad karta.tif", "Muorkenåive-Ássjátj S")</f>
        <v/>
      </c>
      <c r="AA6">
        <f>HYPERLINK("https://klasma.github.io/Logging_FORSKNINGSRESAN_2026_ARJEPLOG/klagomål/Muorkenåive-Ássjátj S FSC-klagomål.docx", "Muorkenåive-Ássjátj S")</f>
        <v/>
      </c>
      <c r="AB6">
        <f>HYPERLINK("https://klasma.github.io/Logging_FORSKNINGSRESAN_2026_ARJEPLOG/klagomålsmail/Muorkenåive-Ássjátj S FSC-klagomål mail.docx", "Muorkenåive-Ássjátj S")</f>
        <v/>
      </c>
      <c r="AC6">
        <f>HYPERLINK("https://klasma.github.io/Logging_FORSKNINGSRESAN_2026_ARJEPLOG/tillsyn/Muorkenåive-Ássjátj S tillsynsbegäran.docx", "Muorkenåive-Ássjátj S")</f>
        <v/>
      </c>
      <c r="AD6">
        <f>HYPERLINK("https://klasma.github.io/Logging_FORSKNINGSRESAN_2026_ARJEPLOG/tillsynsmail/Muorkenåive-Ássjátj S tillsynsbegäran mail.docx", "Muorkenåive-Ássjátj S")</f>
        <v/>
      </c>
      <c r="AE6">
        <f>HYPERLINK("https://klasma.github.io/Logging_FORSKNINGSRESAN_2026_ARJEPLOG/fåglar/Muorkenåive-Ássjátj S prioriterade fågelarter.docx", "Muorkenåive-Ássjátj S")</f>
        <v/>
      </c>
      <c r="AF6" t="inlineStr">
        <is>
          <t>Slagit samman Muorkenåive-privat med Assjatj-privat (lilla) till ett objekt efter fältgenomgång. /FF Behöver inte finkamma, men bra att få in några fynd. kommer avvanm hela tiden.</t>
        </is>
      </c>
      <c r="AG6" t="n">
        <v>1</v>
      </c>
      <c r="AH6" t="inlineStr">
        <is>
          <t>Privat</t>
        </is>
      </c>
      <c r="AI6" t="inlineStr">
        <is>
          <t>Dag Gran: Gr 3</t>
        </is>
      </c>
      <c r="AJ6" t="n">
        <v/>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4</v>
      </c>
      <c r="N7" t="n">
        <v>0</v>
      </c>
      <c r="O7" t="n">
        <v>0</v>
      </c>
      <c r="P7" t="n">
        <v>0</v>
      </c>
      <c r="Q7" t="n">
        <v>24</v>
      </c>
      <c r="R7" t="n">
        <v>4</v>
      </c>
      <c r="S7" t="n">
        <v>41</v>
      </c>
      <c r="T7" t="n">
        <v>191</v>
      </c>
      <c r="U7" t="n">
        <v>188</v>
      </c>
      <c r="V7"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7</v>
      </c>
      <c r="N11" t="n">
        <v>0</v>
      </c>
      <c r="O11" t="n">
        <v>0</v>
      </c>
      <c r="P11" t="n">
        <v>0</v>
      </c>
      <c r="Q11" t="n">
        <v>23</v>
      </c>
      <c r="R11" t="n">
        <v>7</v>
      </c>
      <c r="S11" t="n">
        <v>28</v>
      </c>
      <c r="T11" t="n">
        <v>125</v>
      </c>
      <c r="U11" t="n">
        <v>125</v>
      </c>
      <c r="V11"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103</v>
      </c>
      <c r="U12" t="n">
        <v>103</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Maskaure Renskötartjärnen, 8,3 ha</t>
        </is>
      </c>
      <c r="B14" t="inlineStr">
        <is>
          <t>inventeringsområde</t>
        </is>
      </c>
      <c r="D14" s="1" t="n">
        <v>46223</v>
      </c>
      <c r="E14" s="1" t="n">
        <v>46226</v>
      </c>
      <c r="F14" t="inlineStr">
        <is>
          <t>Norrbottens län</t>
        </is>
      </c>
      <c r="G14" t="inlineStr">
        <is>
          <t>Arjeplog</t>
        </is>
      </c>
      <c r="H14" t="inlineStr">
        <is>
          <t>Sveaskog</t>
        </is>
      </c>
      <c r="I14" t="n">
        <v>8.300000000000001</v>
      </c>
      <c r="J14" t="n">
        <v>2</v>
      </c>
      <c r="K14" t="n">
        <v>2</v>
      </c>
      <c r="L14" t="n">
        <v>12</v>
      </c>
      <c r="M14" t="n">
        <v>8</v>
      </c>
      <c r="N14" t="n">
        <v>0</v>
      </c>
      <c r="O14" t="n">
        <v>1</v>
      </c>
      <c r="P14" t="n">
        <v>0</v>
      </c>
      <c r="Q14" t="n">
        <v>21</v>
      </c>
      <c r="R14" t="n">
        <v>9</v>
      </c>
      <c r="S14" t="n">
        <v>24</v>
      </c>
      <c r="T14" t="n">
        <v>80</v>
      </c>
      <c r="U14" t="n">
        <v>48</v>
      </c>
      <c r="V14"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4">
        <f>HYPERLINK("https://klasma.github.io/Logging_FORSKNINGSRESAN_2026_ARJEPLOG/artfynd/Maskaure Renskötartjärnen, 8,3 ha artfynd.xlsx", "Maskaure Renskötartjärnen, 8,3 ha")</f>
        <v/>
      </c>
      <c r="X14">
        <f>HYPERLINK("https://klasma.github.io/Logging_FORSKNINGSRESAN_2026_ARJEPLOG/kartor/Maskaure Renskötartjärnen, 8,3 ha karta.png", "Maskaure Renskötartjärnen, 8,3 ha")</f>
        <v/>
      </c>
      <c r="Y14">
        <f>HYPERLINK("https://klasma.github.io/Logging_FORSKNINGSRESAN_2026_ARJEPLOG/kartor_geotiff/Maskaure Renskötartjärnen, 8,3 ha georefererad karta.tif", "Maskaure Renskötartjärnen, 8,3 ha")</f>
        <v/>
      </c>
      <c r="AA14">
        <f>HYPERLINK("https://klasma.github.io/Logging_FORSKNINGSRESAN_2026_ARJEPLOG/klagomål/Maskaure Renskötartjärnen, 8,3 ha FSC-klagomål.docx", "Maskaure Renskötartjärnen, 8,3 ha")</f>
        <v/>
      </c>
      <c r="AB14">
        <f>HYPERLINK("https://klasma.github.io/Logging_FORSKNINGSRESAN_2026_ARJEPLOG/klagomålsmail/Maskaure Renskötartjärnen, 8,3 ha FSC-klagomål mail.docx", "Maskaure Renskötartjärnen, 8,3 ha")</f>
        <v/>
      </c>
      <c r="AC14">
        <f>HYPERLINK("https://klasma.github.io/Logging_FORSKNINGSRESAN_2026_ARJEPLOG/tillsyn/Maskaure Renskötartjärnen, 8,3 ha tillsynsbegäran.docx", "Maskaure Renskötartjärnen, 8,3 ha")</f>
        <v/>
      </c>
      <c r="AD14">
        <f>HYPERLINK("https://klasma.github.io/Logging_FORSKNINGSRESAN_2026_ARJEPLOG/tillsynsmail/Maskaure Renskötartjärnen, 8,3 ha tillsynsbegäran mail.docx", "Maskaure Renskötartjärnen, 8,3 ha")</f>
        <v/>
      </c>
      <c r="AF14" t="inlineStr">
        <is>
          <t>k-skog, ej rekad</t>
        </is>
      </c>
      <c r="AG14" t="n">
        <v>1</v>
      </c>
      <c r="AH14" t="inlineStr">
        <is>
          <t>Sveaskog</t>
        </is>
      </c>
      <c r="AI14" t="inlineStr">
        <is>
          <t>Ons: Gr 3</t>
        </is>
      </c>
      <c r="AJ14" t="n">
        <v/>
      </c>
    </row>
    <row r="15" ht="15" customHeight="1">
      <c r="A15" t="inlineStr">
        <is>
          <t>Njuöniesvárrie NV avvanm</t>
        </is>
      </c>
      <c r="B15" t="inlineStr">
        <is>
          <t>inventeringsområde</t>
        </is>
      </c>
      <c r="D15" s="1" t="n">
        <v>46223</v>
      </c>
      <c r="E15" s="1" t="n">
        <v>46226</v>
      </c>
      <c r="F15" t="inlineStr">
        <is>
          <t>Norrbottens län</t>
        </is>
      </c>
      <c r="G15" t="inlineStr">
        <is>
          <t>Arjeplog</t>
        </is>
      </c>
      <c r="H15" t="inlineStr">
        <is>
          <t>Allmännings- och besparingsskogar</t>
        </is>
      </c>
      <c r="I15" t="n">
        <v>39.8</v>
      </c>
      <c r="J15" t="n">
        <v>4</v>
      </c>
      <c r="K15" t="n">
        <v>3</v>
      </c>
      <c r="L15" t="n">
        <v>13</v>
      </c>
      <c r="M15" t="n">
        <v>5</v>
      </c>
      <c r="N15" t="n">
        <v>1</v>
      </c>
      <c r="O15" t="n">
        <v>0</v>
      </c>
      <c r="P15" t="n">
        <v>0</v>
      </c>
      <c r="Q15" t="n">
        <v>19</v>
      </c>
      <c r="R15" t="n">
        <v>6</v>
      </c>
      <c r="S15" t="n">
        <v>23</v>
      </c>
      <c r="T15" t="n">
        <v>73</v>
      </c>
      <c r="U15" t="n">
        <v>73</v>
      </c>
      <c r="V1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5">
        <f>HYPERLINK("https://klasma.github.io/Logging_FORSKNINGSRESAN_2026_ARJEPLOG/artfynd/Njuöniesvárrie NV avvanm artfynd.xlsx", "Njuöniesvárrie NV avvanm")</f>
        <v/>
      </c>
      <c r="X15">
        <f>HYPERLINK("https://klasma.github.io/Logging_FORSKNINGSRESAN_2026_ARJEPLOG/kartor/Njuöniesvárrie NV avvanm karta.png", "Njuöniesvárrie NV avvanm")</f>
        <v/>
      </c>
      <c r="Y15">
        <f>HYPERLINK("https://klasma.github.io/Logging_FORSKNINGSRESAN_2026_ARJEPLOG/kartor_geotiff/Njuöniesvárrie NV avvanm georefererad karta.tif", "Njuöniesvárrie NV avvanm")</f>
        <v/>
      </c>
      <c r="Z15">
        <f>HYPERLINK("https://klasma.github.io/Logging_FORSKNINGSRESAN_2026_ARJEPLOG/knärot/Njuöniesvárrie NV avvanm karta knärot.png", "Njuöniesvárrie NV avvanm")</f>
        <v/>
      </c>
      <c r="AA15">
        <f>HYPERLINK("https://klasma.github.io/Logging_FORSKNINGSRESAN_2026_ARJEPLOG/klagomål/Njuöniesvárrie NV avvanm FSC-klagomål.docx", "Njuöniesvárrie NV avvanm")</f>
        <v/>
      </c>
      <c r="AB15">
        <f>HYPERLINK("https://klasma.github.io/Logging_FORSKNINGSRESAN_2026_ARJEPLOG/klagomålsmail/Njuöniesvárrie NV avvanm FSC-klagomål mail.docx", "Njuöniesvárrie NV avvanm")</f>
        <v/>
      </c>
      <c r="AC15">
        <f>HYPERLINK("https://klasma.github.io/Logging_FORSKNINGSRESAN_2026_ARJEPLOG/tillsyn/Njuöniesvárrie NV avvanm tillsynsbegäran.docx", "Njuöniesvárrie NV avvanm")</f>
        <v/>
      </c>
      <c r="AD15">
        <f>HYPERLINK("https://klasma.github.io/Logging_FORSKNINGSRESAN_2026_ARJEPLOG/tillsynsmail/Njuöniesvárrie NV avvanm tillsynsbegäran mail.docx", "Njuöniesvárrie NV avvanm")</f>
        <v/>
      </c>
      <c r="AE15">
        <f>HYPERLINK("https://klasma.github.io/Logging_FORSKNINGSRESAN_2026_ARJEPLOG/fåglar/Njuöniesvárrie NV avvanm prioriterade fågelarter.docx", "Njuöniesvárrie NV avvanm")</f>
        <v/>
      </c>
      <c r="AF15" t="inlineStr">
        <is>
          <t>Barrblandskog, eventuellt bom!! avvanm</t>
        </is>
      </c>
      <c r="AG15" t="n">
        <v>1</v>
      </c>
      <c r="AH15" t="inlineStr">
        <is>
          <t>Allmännings- och besparingsskogar</t>
        </is>
      </c>
      <c r="AI15" t="n">
        <v/>
      </c>
      <c r="AJ15" t="n">
        <v/>
      </c>
    </row>
    <row r="16" ht="15" customHeight="1">
      <c r="A16" t="inlineStr">
        <is>
          <t>Maskaure Långmyran SV, 6,8 ha</t>
        </is>
      </c>
      <c r="B16" t="inlineStr">
        <is>
          <t>inventeringsområde</t>
        </is>
      </c>
      <c r="D16" s="1" t="n">
        <v>46223</v>
      </c>
      <c r="E16" s="1" t="n">
        <v>46226</v>
      </c>
      <c r="F16" t="inlineStr">
        <is>
          <t>Norrbottens län</t>
        </is>
      </c>
      <c r="G16" t="inlineStr">
        <is>
          <t>Arjeplog</t>
        </is>
      </c>
      <c r="H16" t="inlineStr">
        <is>
          <t>Sveaskog</t>
        </is>
      </c>
      <c r="I16" t="n">
        <v>6.9</v>
      </c>
      <c r="J16" t="n">
        <v>2</v>
      </c>
      <c r="K16" t="n">
        <v>1</v>
      </c>
      <c r="L16" t="n">
        <v>15</v>
      </c>
      <c r="M16" t="n">
        <v>4</v>
      </c>
      <c r="N16" t="n">
        <v>0</v>
      </c>
      <c r="O16" t="n">
        <v>0</v>
      </c>
      <c r="P16" t="n">
        <v>0</v>
      </c>
      <c r="Q16" t="n">
        <v>19</v>
      </c>
      <c r="R16" t="n">
        <v>4</v>
      </c>
      <c r="S16" t="n">
        <v>22</v>
      </c>
      <c r="T16" t="n">
        <v>57</v>
      </c>
      <c r="U16" t="n">
        <v>49</v>
      </c>
      <c r="V16"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2</v>
      </c>
      <c r="L17" t="n">
        <v>14</v>
      </c>
      <c r="M17" t="n">
        <v>1</v>
      </c>
      <c r="N17" t="n">
        <v>0</v>
      </c>
      <c r="O17" t="n">
        <v>0</v>
      </c>
      <c r="P17" t="n">
        <v>0</v>
      </c>
      <c r="Q17" t="n">
        <v>15</v>
      </c>
      <c r="R17" t="n">
        <v>1</v>
      </c>
      <c r="S17" t="n">
        <v>20</v>
      </c>
      <c r="T17" t="n">
        <v>66</v>
      </c>
      <c r="U17" t="n">
        <v>50</v>
      </c>
      <c r="V17" s="2" t="inlineStr">
        <is>
          <t>Fläckporing
Blanksvart spiklav
Drillsnäppa
Dropptaggsvamp
Duvhök
Dvärgbägarlav
Kortskaftad ärgspik
Lavskrika
Nordtagging
Talltagel
Talltita
Tretåig hackspett
Vedflamlav
Vedskivlav
Älg
Plattlummer
Vedticka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42</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Juvtábákte utvidgning S</t>
        </is>
      </c>
      <c r="B19" t="inlineStr">
        <is>
          <t>inventeringsområde</t>
        </is>
      </c>
      <c r="D19" s="1" t="n">
        <v>46223</v>
      </c>
      <c r="E19" s="1" t="n">
        <v>46226</v>
      </c>
      <c r="F19" t="inlineStr">
        <is>
          <t>Norrbottens län</t>
        </is>
      </c>
      <c r="G19" t="inlineStr">
        <is>
          <t>Arjeplog</t>
        </is>
      </c>
      <c r="H19" t="inlineStr">
        <is>
          <t>Övriga statliga verk och myndigheter</t>
        </is>
      </c>
      <c r="I19" t="n">
        <v>143</v>
      </c>
      <c r="J19" t="n">
        <v>9</v>
      </c>
      <c r="K19" t="n">
        <v>4</v>
      </c>
      <c r="L19" t="n">
        <v>9</v>
      </c>
      <c r="M19" t="n">
        <v>0</v>
      </c>
      <c r="N19" t="n">
        <v>0</v>
      </c>
      <c r="O19" t="n">
        <v>0</v>
      </c>
      <c r="P19" t="n">
        <v>0</v>
      </c>
      <c r="Q19" t="n">
        <v>9</v>
      </c>
      <c r="R19" t="n">
        <v>0</v>
      </c>
      <c r="S19" t="n">
        <v>17</v>
      </c>
      <c r="T19" t="n">
        <v>23</v>
      </c>
      <c r="U19" t="n">
        <v>1</v>
      </c>
      <c r="V19" s="2" t="inlineStr">
        <is>
          <t>Blå taggsvamp
Dropptaggsvamp
Lappmes
Lavskrika
Skarp dropptaggsvamp
Stickelfrö
Talltagel
Tretåig hackspett
Ullticka
Nordlig fjädermossa
Plattlummer
Spindelblomster
Ögonpyrola
Mattlummer
Brudsporre
Fläcknycklar
Revlummer</t>
        </is>
      </c>
      <c r="W19">
        <f>HYPERLINK("https://klasma.github.io/Logging_FORSKNINGSRESAN_2026_ARJEPLOG/artfynd/Juvtábákte utvidgning S artfynd.xlsx", "Juvtábákte utvidgning S")</f>
        <v/>
      </c>
      <c r="X19">
        <f>HYPERLINK("https://klasma.github.io/Logging_FORSKNINGSRESAN_2026_ARJEPLOG/kartor/Juvtábákte utvidgning S karta.png", "Juvtábákte utvidgning S")</f>
        <v/>
      </c>
      <c r="Y19">
        <f>HYPERLINK("https://klasma.github.io/Logging_FORSKNINGSRESAN_2026_ARJEPLOG/kartor_geotiff/Juvtábákte utvidgning S georefererad karta.tif", "Juvtábákte utvidgning S")</f>
        <v/>
      </c>
      <c r="AA19">
        <f>HYPERLINK("https://klasma.github.io/Logging_FORSKNINGSRESAN_2026_ARJEPLOG/klagomål/Juvtábákte utvidgning S FSC-klagomål.docx", "Juvtábákte utvidgning S")</f>
        <v/>
      </c>
      <c r="AB19">
        <f>HYPERLINK("https://klasma.github.io/Logging_FORSKNINGSRESAN_2026_ARJEPLOG/klagomålsmail/Juvtábákte utvidgning S FSC-klagomål mail.docx", "Juvtábákte utvidgning S")</f>
        <v/>
      </c>
      <c r="AC19">
        <f>HYPERLINK("https://klasma.github.io/Logging_FORSKNINGSRESAN_2026_ARJEPLOG/tillsyn/Juvtábákte utvidgning S tillsynsbegäran.docx", "Juvtábákte utvidgning S")</f>
        <v/>
      </c>
      <c r="AD19">
        <f>HYPERLINK("https://klasma.github.io/Logging_FORSKNINGSRESAN_2026_ARJEPLOG/tillsynsmail/Juvtábákte utvidgning S tillsynsbegäran mail.docx", "Juvtábákte utvidgning S")</f>
        <v/>
      </c>
      <c r="AE19">
        <f>HYPERLINK("https://klasma.github.io/Logging_FORSKNINGSRESAN_2026_ARJEPLOG/fåglar/Juvtábákte utvidgning S prioriterade fågelarter.docx", "Juvtábákte utvidgning S")</f>
        <v/>
      </c>
      <c r="AF19" t="inlineStr">
        <is>
          <t>Avskrevs på samr.möte 171116. Samr. m SFV gäller ej längre. Inv 2022 + branten på priv.m. Ö om. Viktigt för att få ner reservatet till allmän väg, vilket ökar tillgängligheten. Bytt namn 230314 till ...Silvervägen. /FF Bör ingå i planerat</t>
        </is>
      </c>
      <c r="AG19" t="n">
        <v>2</v>
      </c>
      <c r="AH19" t="inlineStr">
        <is>
          <t>Fastighetsverket</t>
        </is>
      </c>
      <c r="AI19" t="inlineStr">
        <is>
          <t>Tis: Gr 4</t>
        </is>
      </c>
      <c r="AJ19" t="n">
        <v/>
      </c>
    </row>
    <row r="20" ht="15" customHeight="1">
      <c r="A20" t="inlineStr">
        <is>
          <t>Svanvik SO avvanm</t>
        </is>
      </c>
      <c r="B20" t="inlineStr">
        <is>
          <t>inventeringsområde</t>
        </is>
      </c>
      <c r="D20" s="1" t="n">
        <v>46223</v>
      </c>
      <c r="E20" s="1" t="n">
        <v>46226</v>
      </c>
      <c r="F20" t="inlineStr">
        <is>
          <t>Norrbottens län</t>
        </is>
      </c>
      <c r="G20" t="inlineStr">
        <is>
          <t>Arjeplog</t>
        </is>
      </c>
      <c r="I20" t="n">
        <v>12.9</v>
      </c>
      <c r="J20" t="n">
        <v>2</v>
      </c>
      <c r="K20" t="n">
        <v>4</v>
      </c>
      <c r="L20" t="n">
        <v>9</v>
      </c>
      <c r="M20" t="n">
        <v>3</v>
      </c>
      <c r="N20" t="n">
        <v>0</v>
      </c>
      <c r="O20" t="n">
        <v>0</v>
      </c>
      <c r="P20" t="n">
        <v>0</v>
      </c>
      <c r="Q20" t="n">
        <v>12</v>
      </c>
      <c r="R20" t="n">
        <v>3</v>
      </c>
      <c r="S20" t="n">
        <v>16</v>
      </c>
      <c r="T20" t="n">
        <v>47</v>
      </c>
      <c r="U20" t="n">
        <v>47</v>
      </c>
      <c r="V20" s="2" t="inlineStr">
        <is>
          <t>Garnlav
Gränsticka
Knärot
Doftskinn
Gammelgransskål
Harticka
Knottrig blåslav
Rosenticka
Skrovellav
Ullticka
Vedtrappmossa
Vitgrynig nållav
Bårdlav
Luddlav
Spindelblomster
Vedticka</t>
        </is>
      </c>
      <c r="W20">
        <f>HYPERLINK("https://klasma.github.io/Logging_FORSKNINGSRESAN_2026_ARJEPLOG/artfynd/Svanvik SO avvanm artfynd.xlsx", "Svanvik SO avvanm")</f>
        <v/>
      </c>
      <c r="X20">
        <f>HYPERLINK("https://klasma.github.io/Logging_FORSKNINGSRESAN_2026_ARJEPLOG/kartor/Svanvik SO avvanm karta.png", "Svanvik SO avvanm")</f>
        <v/>
      </c>
      <c r="Y20">
        <f>HYPERLINK("https://klasma.github.io/Logging_FORSKNINGSRESAN_2026_ARJEPLOG/kartor_geotiff/Svanvik SO avvanm georefererad karta.tif", "Svanvik SO avvanm")</f>
        <v/>
      </c>
      <c r="Z20">
        <f>HYPERLINK("https://klasma.github.io/Logging_FORSKNINGSRESAN_2026_ARJEPLOG/knärot/Svanvik SO avvanm karta knärot.png", "Svanvik SO avvanm")</f>
        <v/>
      </c>
      <c r="AA20">
        <f>HYPERLINK("https://klasma.github.io/Logging_FORSKNINGSRESAN_2026_ARJEPLOG/klagomål/Svanvik SO avvanm FSC-klagomål.docx", "Svanvik SO avvanm")</f>
        <v/>
      </c>
      <c r="AB20">
        <f>HYPERLINK("https://klasma.github.io/Logging_FORSKNINGSRESAN_2026_ARJEPLOG/klagomålsmail/Svanvik SO avvanm FSC-klagomål mail.docx", "Svanvik SO avvanm")</f>
        <v/>
      </c>
      <c r="AC20">
        <f>HYPERLINK("https://klasma.github.io/Logging_FORSKNINGSRESAN_2026_ARJEPLOG/tillsyn/Svanvik SO avvanm tillsynsbegäran.docx", "Svanvik SO avvanm")</f>
        <v/>
      </c>
      <c r="AD20">
        <f>HYPERLINK("https://klasma.github.io/Logging_FORSKNINGSRESAN_2026_ARJEPLOG/tillsynsmail/Svanvik SO avvanm tillsynsbegäran mail.docx", "Svanvik SO avvanm")</f>
        <v/>
      </c>
      <c r="AF20" t="inlineStr">
        <is>
          <t>Grannaturskog</t>
        </is>
      </c>
      <c r="AG20" t="n">
        <v>1</v>
      </c>
      <c r="AH20" t="inlineStr">
        <is>
          <t>Privat</t>
        </is>
      </c>
      <c r="AI20" t="inlineStr">
        <is>
          <t>Dag Gran: Gr 1 (prio 1)</t>
        </is>
      </c>
      <c r="AJ20" t="n">
        <v/>
      </c>
    </row>
    <row r="21" ht="15" customHeight="1">
      <c r="A21" t="inlineStr">
        <is>
          <t>Bremudden avvanm</t>
        </is>
      </c>
      <c r="B21" t="inlineStr">
        <is>
          <t>inventeringsområde</t>
        </is>
      </c>
      <c r="D21" s="1" t="n">
        <v>46223</v>
      </c>
      <c r="E21" s="1" t="n">
        <v>46226</v>
      </c>
      <c r="F21" t="inlineStr">
        <is>
          <t>Norrbottens län</t>
        </is>
      </c>
      <c r="G21" t="inlineStr">
        <is>
          <t>Arjeplog</t>
        </is>
      </c>
      <c r="I21" t="n">
        <v>19.7</v>
      </c>
      <c r="J21" t="n">
        <v>4</v>
      </c>
      <c r="K21" t="n">
        <v>0</v>
      </c>
      <c r="L21" t="n">
        <v>10</v>
      </c>
      <c r="M21" t="n">
        <v>3</v>
      </c>
      <c r="N21" t="n">
        <v>0</v>
      </c>
      <c r="O21" t="n">
        <v>0</v>
      </c>
      <c r="P21" t="n">
        <v>0</v>
      </c>
      <c r="Q21" t="n">
        <v>13</v>
      </c>
      <c r="R21" t="n">
        <v>3</v>
      </c>
      <c r="S21" t="n">
        <v>16</v>
      </c>
      <c r="T21" t="n">
        <v>20</v>
      </c>
      <c r="U21" t="n">
        <v>20</v>
      </c>
      <c r="V21" s="2" t="inlineStr">
        <is>
          <t>Fläckporing
Garnlav
Gräddporing
Blanksvart spiklav
Dvärgbägarlav
Grå blåbärsfältmätare
Mörk kolflarnlav
Talltagel
Talltita
Vedflamlav
Vedskivlav
Vitplätt
Älg
Tjäder
Vanlig groda
Revlummer</t>
        </is>
      </c>
      <c r="W21">
        <f>HYPERLINK("https://klasma.github.io/Logging_FORSKNINGSRESAN_2026_ARJEPLOG/artfynd/Bremudden avvanm artfynd.xlsx", "Bremudden avvanm")</f>
        <v/>
      </c>
      <c r="X21">
        <f>HYPERLINK("https://klasma.github.io/Logging_FORSKNINGSRESAN_2026_ARJEPLOG/kartor/Bremudden avvanm karta.png", "Bremudden avvanm")</f>
        <v/>
      </c>
      <c r="Y21">
        <f>HYPERLINK("https://klasma.github.io/Logging_FORSKNINGSRESAN_2026_ARJEPLOG/kartor_geotiff/Bremudden avvanm georefererad karta.tif", "Bremudden avvanm")</f>
        <v/>
      </c>
      <c r="AA21">
        <f>HYPERLINK("https://klasma.github.io/Logging_FORSKNINGSRESAN_2026_ARJEPLOG/klagomål/Bremudden avvanm FSC-klagomål.docx", "Bremudden avvanm")</f>
        <v/>
      </c>
      <c r="AB21">
        <f>HYPERLINK("https://klasma.github.io/Logging_FORSKNINGSRESAN_2026_ARJEPLOG/klagomålsmail/Bremudden avvanm FSC-klagomål mail.docx", "Bremudden avvanm")</f>
        <v/>
      </c>
      <c r="AC21">
        <f>HYPERLINK("https://klasma.github.io/Logging_FORSKNINGSRESAN_2026_ARJEPLOG/tillsyn/Bremudden avvanm tillsynsbegäran.docx", "Bremudden avvanm")</f>
        <v/>
      </c>
      <c r="AD21">
        <f>HYPERLINK("https://klasma.github.io/Logging_FORSKNINGSRESAN_2026_ARJEPLOG/tillsynsmail/Bremudden avvanm tillsynsbegäran mail.docx", "Bremudden avvanm")</f>
        <v/>
      </c>
      <c r="AE21">
        <f>HYPERLINK("https://klasma.github.io/Logging_FORSKNINGSRESAN_2026_ARJEPLOG/fåglar/Bremudden avvanm prioriterade fågelarter.docx", "Bremudden avvanm")</f>
        <v/>
      </c>
      <c r="AF21" t="inlineStr">
        <is>
          <t>avvanm</t>
        </is>
      </c>
      <c r="AG21" t="n">
        <v/>
      </c>
      <c r="AH21" t="inlineStr">
        <is>
          <t>Privat</t>
        </is>
      </c>
      <c r="AI21" t="inlineStr">
        <is>
          <t>Tis: Gr 1 (prio 2)</t>
        </is>
      </c>
      <c r="AJ21" t="inlineStr">
        <is>
          <t>A 24892-2026</t>
        </is>
      </c>
    </row>
    <row r="22" ht="15" customHeight="1">
      <c r="A22" t="inlineStr">
        <is>
          <t>S om Kvarntjärnen</t>
        </is>
      </c>
      <c r="B22" t="inlineStr">
        <is>
          <t>inventeringsområde</t>
        </is>
      </c>
      <c r="D22" s="1" t="n">
        <v>46223</v>
      </c>
      <c r="E22" s="1" t="n">
        <v>46226</v>
      </c>
      <c r="F22" t="inlineStr">
        <is>
          <t>Norrbottens län</t>
        </is>
      </c>
      <c r="G22" t="inlineStr">
        <is>
          <t>Arjeplog</t>
        </is>
      </c>
      <c r="H22" t="inlineStr">
        <is>
          <t>Sveaskog</t>
        </is>
      </c>
      <c r="I22" t="n">
        <v>27.7</v>
      </c>
      <c r="J22" t="n">
        <v>4</v>
      </c>
      <c r="K22" t="n">
        <v>3</v>
      </c>
      <c r="L22" t="n">
        <v>9</v>
      </c>
      <c r="M22" t="n">
        <v>2</v>
      </c>
      <c r="N22" t="n">
        <v>1</v>
      </c>
      <c r="O22" t="n">
        <v>0</v>
      </c>
      <c r="P22" t="n">
        <v>0</v>
      </c>
      <c r="Q22" t="n">
        <v>12</v>
      </c>
      <c r="R22" t="n">
        <v>3</v>
      </c>
      <c r="S22" t="n">
        <v>15</v>
      </c>
      <c r="T22" t="n">
        <v>82</v>
      </c>
      <c r="U22" t="n">
        <v>82</v>
      </c>
      <c r="V22" s="2" t="inlineStr">
        <is>
          <t>Lusporing
Garnlav
Gräddporing
Blanksvart spiklav
Dropptaggsvamp
Dvärgbägarlav
Lavskrika
Nordtagging
Talltagel
Talltita
Tretåig hackspett
Vedskivlav
Norrlandslav
Plattlummer
Vedticka</t>
        </is>
      </c>
      <c r="W22">
        <f>HYPERLINK("https://klasma.github.io/Logging_FORSKNINGSRESAN_2026_ARJEPLOG/artfynd/S om Kvarntjärnen artfynd.xlsx", "S om Kvarntjärnen")</f>
        <v/>
      </c>
      <c r="X22">
        <f>HYPERLINK("https://klasma.github.io/Logging_FORSKNINGSRESAN_2026_ARJEPLOG/kartor/S om Kvarntjärnen karta.png", "S om Kvarntjärnen")</f>
        <v/>
      </c>
      <c r="Y22">
        <f>HYPERLINK("https://klasma.github.io/Logging_FORSKNINGSRESAN_2026_ARJEPLOG/kartor_geotiff/S om Kvarntjärnen georefererad karta.tif", "S om Kvarntjärnen")</f>
        <v/>
      </c>
      <c r="AA22">
        <f>HYPERLINK("https://klasma.github.io/Logging_FORSKNINGSRESAN_2026_ARJEPLOG/klagomål/S om Kvarntjärnen FSC-klagomål.docx", "S om Kvarntjärnen")</f>
        <v/>
      </c>
      <c r="AB22">
        <f>HYPERLINK("https://klasma.github.io/Logging_FORSKNINGSRESAN_2026_ARJEPLOG/klagomålsmail/S om Kvarntjärnen FSC-klagomål mail.docx", "S om Kvarntjärnen")</f>
        <v/>
      </c>
      <c r="AC22">
        <f>HYPERLINK("https://klasma.github.io/Logging_FORSKNINGSRESAN_2026_ARJEPLOG/tillsyn/S om Kvarntjärnen tillsynsbegäran.docx", "S om Kvarntjärnen")</f>
        <v/>
      </c>
      <c r="AD22">
        <f>HYPERLINK("https://klasma.github.io/Logging_FORSKNINGSRESAN_2026_ARJEPLOG/tillsynsmail/S om Kvarntjärnen tillsynsbegäran mail.docx", "S om Kvarntjärnen")</f>
        <v/>
      </c>
      <c r="AE22">
        <f>HYPERLINK("https://klasma.github.io/Logging_FORSKNINGSRESAN_2026_ARJEPLOG/fåglar/S om Kvarntjärnen prioriterade fågelarter.docx", "S om Kvarntjärnen")</f>
        <v/>
      </c>
      <c r="AF22" t="inlineStr">
        <is>
          <t>Ser bra ut från vägen, bom öppen.</t>
        </is>
      </c>
      <c r="AG22" t="n">
        <v>10</v>
      </c>
      <c r="AH22" t="inlineStr">
        <is>
          <t>Sveaskog</t>
        </is>
      </c>
      <c r="AI22" t="inlineStr">
        <is>
          <t>Tis: Gr 2 (prio 3)</t>
        </is>
      </c>
      <c r="AJ22" t="n">
        <v/>
      </c>
    </row>
    <row r="23" ht="15" customHeight="1">
      <c r="A23" t="inlineStr">
        <is>
          <t>Maskaure Maddagielas S, 27 ha</t>
        </is>
      </c>
      <c r="B23" t="inlineStr">
        <is>
          <t>inventeringsområde</t>
        </is>
      </c>
      <c r="D23" s="1" t="n">
        <v>46223</v>
      </c>
      <c r="E23" s="1" t="n">
        <v>46226</v>
      </c>
      <c r="F23" t="inlineStr">
        <is>
          <t>Norrbottens län</t>
        </is>
      </c>
      <c r="G23" t="inlineStr">
        <is>
          <t>Arjeplog</t>
        </is>
      </c>
      <c r="H23" t="inlineStr">
        <is>
          <t>Sveaskog</t>
        </is>
      </c>
      <c r="I23" t="n">
        <v>26.3</v>
      </c>
      <c r="J23" t="n">
        <v>2</v>
      </c>
      <c r="K23" t="n">
        <v>1</v>
      </c>
      <c r="L23" t="n">
        <v>8</v>
      </c>
      <c r="M23" t="n">
        <v>1</v>
      </c>
      <c r="N23" t="n">
        <v>0</v>
      </c>
      <c r="O23" t="n">
        <v>0</v>
      </c>
      <c r="P23" t="n">
        <v>0</v>
      </c>
      <c r="Q23" t="n">
        <v>9</v>
      </c>
      <c r="R23" t="n">
        <v>1</v>
      </c>
      <c r="S23" t="n">
        <v>11</v>
      </c>
      <c r="T23" t="n">
        <v>55</v>
      </c>
      <c r="U23" t="n">
        <v>54</v>
      </c>
      <c r="V23" s="2" t="inlineStr">
        <is>
          <t>Garnlav
Gammelgransskål
Harticka
Knottrig blåslav
Lavskrika
Rosenticka
Talltagel
Tretåig hackspett
Ullticka
Vedticka
Grå renlav</t>
        </is>
      </c>
      <c r="W23">
        <f>HYPERLINK("https://klasma.github.io/Logging_FORSKNINGSRESAN_2026_ARJEPLOG/artfynd/Maskaure Maddagielas S, 27 ha artfynd.xlsx", "Maskaure Maddagielas S, 27 ha")</f>
        <v/>
      </c>
      <c r="X23">
        <f>HYPERLINK("https://klasma.github.io/Logging_FORSKNINGSRESAN_2026_ARJEPLOG/kartor/Maskaure Maddagielas S, 27 ha karta.png", "Maskaure Maddagielas S, 27 ha")</f>
        <v/>
      </c>
      <c r="Y23">
        <f>HYPERLINK("https://klasma.github.io/Logging_FORSKNINGSRESAN_2026_ARJEPLOG/kartor_geotiff/Maskaure Maddagielas S, 27 ha georefererad karta.tif", "Maskaure Maddagielas S, 27 ha")</f>
        <v/>
      </c>
      <c r="AA23">
        <f>HYPERLINK("https://klasma.github.io/Logging_FORSKNINGSRESAN_2026_ARJEPLOG/klagomål/Maskaure Maddagielas S, 27 ha FSC-klagomål.docx", "Maskaure Maddagielas S, 27 ha")</f>
        <v/>
      </c>
      <c r="AB23">
        <f>HYPERLINK("https://klasma.github.io/Logging_FORSKNINGSRESAN_2026_ARJEPLOG/klagomålsmail/Maskaure Maddagielas S, 27 ha FSC-klagomål mail.docx", "Maskaure Maddagielas S, 27 ha")</f>
        <v/>
      </c>
      <c r="AC23">
        <f>HYPERLINK("https://klasma.github.io/Logging_FORSKNINGSRESAN_2026_ARJEPLOG/tillsyn/Maskaure Maddagielas S, 27 ha tillsynsbegäran.docx", "Maskaure Maddagielas S, 27 ha")</f>
        <v/>
      </c>
      <c r="AD23">
        <f>HYPERLINK("https://klasma.github.io/Logging_FORSKNINGSRESAN_2026_ARJEPLOG/tillsynsmail/Maskaure Maddagielas S, 27 ha tillsynsbegäran mail.docx", "Maskaure Maddagielas S, 27 ha")</f>
        <v/>
      </c>
      <c r="AE23">
        <f>HYPERLINK("https://klasma.github.io/Logging_FORSKNINGSRESAN_2026_ARJEPLOG/fåglar/Maskaure Maddagielas S, 27 ha prioriterade fågelarter.docx", "Maskaure Maddagielas S, 27 ha")</f>
        <v/>
      </c>
      <c r="AF23" t="inlineStr">
        <is>
          <t>Samplaneringsområde</t>
        </is>
      </c>
      <c r="AG23" t="n">
        <v/>
      </c>
      <c r="AH23" t="inlineStr">
        <is>
          <t>Sveaskog</t>
        </is>
      </c>
      <c r="AI23" t="inlineStr">
        <is>
          <t>Ons: Gr 4</t>
        </is>
      </c>
      <c r="AJ23" t="n">
        <v/>
      </c>
    </row>
    <row r="24" ht="15" customHeight="1">
      <c r="A24" t="inlineStr">
        <is>
          <t>Ássjátj utv öster</t>
        </is>
      </c>
      <c r="B24" t="inlineStr">
        <is>
          <t>inventeringsområde</t>
        </is>
      </c>
      <c r="D24" s="1" t="n">
        <v>46223</v>
      </c>
      <c r="E24" s="1" t="n">
        <v>46226</v>
      </c>
      <c r="F24" t="inlineStr">
        <is>
          <t>Norrbottens län</t>
        </is>
      </c>
      <c r="G24" t="inlineStr">
        <is>
          <t>Arjeplog</t>
        </is>
      </c>
      <c r="H24" t="inlineStr">
        <is>
          <t>Övriga statliga verk och myndigheter</t>
        </is>
      </c>
      <c r="I24" t="n">
        <v>27.1</v>
      </c>
      <c r="J24" t="n">
        <v>0</v>
      </c>
      <c r="K24" t="n">
        <v>4</v>
      </c>
      <c r="L24" t="n">
        <v>6</v>
      </c>
      <c r="M24" t="n">
        <v>0</v>
      </c>
      <c r="N24" t="n">
        <v>0</v>
      </c>
      <c r="O24" t="n">
        <v>0</v>
      </c>
      <c r="P24" t="n">
        <v>0</v>
      </c>
      <c r="Q24" t="n">
        <v>6</v>
      </c>
      <c r="R24" t="n">
        <v>0</v>
      </c>
      <c r="S24" t="n">
        <v>10</v>
      </c>
      <c r="T24" t="n">
        <v>13</v>
      </c>
      <c r="U24" t="n">
        <v>0</v>
      </c>
      <c r="V24" s="2" t="inlineStr">
        <is>
          <t>Harticka
Kolflarnlav
Lunglav
Skrovellav
Ullticka
Vedskivlav
Bårdlav
Luddlav
Skinnlav
Ögonpyrola</t>
        </is>
      </c>
      <c r="W24">
        <f>HYPERLINK("https://klasma.github.io/Logging_FORSKNINGSRESAN_2026_ARJEPLOG/artfynd/Ássjátj utv öster artfynd.xlsx", "Ássjátj utv öster")</f>
        <v/>
      </c>
      <c r="X24">
        <f>HYPERLINK("https://klasma.github.io/Logging_FORSKNINGSRESAN_2026_ARJEPLOG/kartor/Ássjátj utv öster karta.png", "Ássjátj utv öster")</f>
        <v/>
      </c>
      <c r="Y24">
        <f>HYPERLINK("https://klasma.github.io/Logging_FORSKNINGSRESAN_2026_ARJEPLOG/kartor_geotiff/Ássjátj utv öster georefererad karta.tif", "Ássjátj utv öster")</f>
        <v/>
      </c>
      <c r="AA24">
        <f>HYPERLINK("https://klasma.github.io/Logging_FORSKNINGSRESAN_2026_ARJEPLOG/klagomål/Ássjátj utv öster FSC-klagomål.docx", "Ássjátj utv öster")</f>
        <v/>
      </c>
      <c r="AB24">
        <f>HYPERLINK("https://klasma.github.io/Logging_FORSKNINGSRESAN_2026_ARJEPLOG/klagomålsmail/Ássjátj utv öster FSC-klagomål mail.docx", "Ássjátj utv öster")</f>
        <v/>
      </c>
      <c r="AC24">
        <f>HYPERLINK("https://klasma.github.io/Logging_FORSKNINGSRESAN_2026_ARJEPLOG/tillsyn/Ássjátj utv öster tillsynsbegäran.docx", "Ássjátj utv öster")</f>
        <v/>
      </c>
      <c r="AD24">
        <f>HYPERLINK("https://klasma.github.io/Logging_FORSKNINGSRESAN_2026_ARJEPLOG/tillsynsmail/Ássjátj utv öster tillsynsbegäran mail.docx", "Ássjátj utv öster")</f>
        <v/>
      </c>
      <c r="AF24" t="inlineStr">
        <is>
          <t>ej inventerad del - gran??</t>
        </is>
      </c>
      <c r="AG24" t="n">
        <v>1</v>
      </c>
      <c r="AH24" t="inlineStr">
        <is>
          <t>SFV</t>
        </is>
      </c>
      <c r="AI24" t="n">
        <v/>
      </c>
      <c r="AJ24" t="n">
        <v/>
      </c>
    </row>
    <row r="25" ht="15" customHeight="1">
      <c r="A25" t="inlineStr">
        <is>
          <t>Bergmyrarna avvanm</t>
        </is>
      </c>
      <c r="B25" t="inlineStr">
        <is>
          <t>inventeringsområde</t>
        </is>
      </c>
      <c r="D25" s="1" t="n">
        <v>46223</v>
      </c>
      <c r="E25" s="1" t="n">
        <v>46226</v>
      </c>
      <c r="F25" t="inlineStr">
        <is>
          <t>Norrbottens län</t>
        </is>
      </c>
      <c r="G25" t="inlineStr">
        <is>
          <t>Arjeplog</t>
        </is>
      </c>
      <c r="H25" t="inlineStr">
        <is>
          <t>Allmännings- och besparingsskogar</t>
        </is>
      </c>
      <c r="I25" t="n">
        <v>17.7</v>
      </c>
      <c r="J25" t="n">
        <v>3</v>
      </c>
      <c r="K25" t="n">
        <v>1</v>
      </c>
      <c r="L25" t="n">
        <v>5</v>
      </c>
      <c r="M25" t="n">
        <v>1</v>
      </c>
      <c r="N25" t="n">
        <v>0</v>
      </c>
      <c r="O25" t="n">
        <v>0</v>
      </c>
      <c r="P25" t="n">
        <v>0</v>
      </c>
      <c r="Q25" t="n">
        <v>6</v>
      </c>
      <c r="R25" t="n">
        <v>1</v>
      </c>
      <c r="S25" t="n">
        <v>9</v>
      </c>
      <c r="T25" t="n">
        <v>44</v>
      </c>
      <c r="U25" t="n">
        <v>44</v>
      </c>
      <c r="V25" s="2" t="inlineStr">
        <is>
          <t>Garnlav
Dvärgbägarlav
Knottrig blåslav
Tretåig hackspett
Vedskivlav
Vitgrynig nållav
Vågbandad barkbock
Spillkråka
Tjäder</t>
        </is>
      </c>
      <c r="W25">
        <f>HYPERLINK("https://klasma.github.io/Logging_FORSKNINGSRESAN_2026_ARJEPLOG/artfynd/Bergmyrarna avvanm artfynd.xlsx", "Bergmyrarna avvanm")</f>
        <v/>
      </c>
      <c r="X25">
        <f>HYPERLINK("https://klasma.github.io/Logging_FORSKNINGSRESAN_2026_ARJEPLOG/kartor/Bergmyrarna avvanm karta.png", "Bergmyrarna avvanm")</f>
        <v/>
      </c>
      <c r="Y25">
        <f>HYPERLINK("https://klasma.github.io/Logging_FORSKNINGSRESAN_2026_ARJEPLOG/kartor_geotiff/Bergmyrarna avvanm georefererad karta.tif", "Bergmyrarna avvanm")</f>
        <v/>
      </c>
      <c r="AA25">
        <f>HYPERLINK("https://klasma.github.io/Logging_FORSKNINGSRESAN_2026_ARJEPLOG/klagomål/Bergmyrarna avvanm FSC-klagomål.docx", "Bergmyrarna avvanm")</f>
        <v/>
      </c>
      <c r="AB25">
        <f>HYPERLINK("https://klasma.github.io/Logging_FORSKNINGSRESAN_2026_ARJEPLOG/klagomålsmail/Bergmyrarna avvanm FSC-klagomål mail.docx", "Bergmyrarna avvanm")</f>
        <v/>
      </c>
      <c r="AC25">
        <f>HYPERLINK("https://klasma.github.io/Logging_FORSKNINGSRESAN_2026_ARJEPLOG/tillsyn/Bergmyrarna avvanm tillsynsbegäran.docx", "Bergmyrarna avvanm")</f>
        <v/>
      </c>
      <c r="AD25">
        <f>HYPERLINK("https://klasma.github.io/Logging_FORSKNINGSRESAN_2026_ARJEPLOG/tillsynsmail/Bergmyrarna avvanm tillsynsbegäran mail.docx", "Bergmyrarna avvanm")</f>
        <v/>
      </c>
      <c r="AE25">
        <f>HYPERLINK("https://klasma.github.io/Logging_FORSKNINGSRESAN_2026_ARJEPLOG/fåglar/Bergmyrarna avvanm prioriterade fågelarter.docx", "Bergmyrarna avvanm")</f>
        <v/>
      </c>
      <c r="AF25" t="inlineStr">
        <is>
          <t>155 år bevskikt, bör inventeras!!</t>
        </is>
      </c>
      <c r="AG25" t="n">
        <v>10</v>
      </c>
      <c r="AH25" t="inlineStr">
        <is>
          <t>Allmännings- och besparingsskogar</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2026-07-23T18:13:31Z</dcterms:created>
  <dcterms:modified xmlns:dcterms="http://purl.org/dc/terms/" xmlns:xsi="http://www.w3.org/2001/XMLSchema-instance" xsi:type="dcterms:W3CDTF">2026-07-23T18:13:31Z</dcterms:modified>
</cp:coreProperties>
</file>