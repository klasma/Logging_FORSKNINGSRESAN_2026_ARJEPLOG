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46229</v>
      </c>
      <c r="F2" t="inlineStr">
        <is>
          <t>Norrbottens län</t>
        </is>
      </c>
      <c r="G2" t="inlineStr">
        <is>
          <t>Arjeplog</t>
        </is>
      </c>
      <c r="I2" t="n">
        <v>111.8</v>
      </c>
      <c r="J2" t="n">
        <v>14</v>
      </c>
      <c r="K2" t="n">
        <v>19</v>
      </c>
      <c r="L2" t="n">
        <v>30</v>
      </c>
      <c r="M2" t="n">
        <v>16</v>
      </c>
      <c r="N2" t="n">
        <v>0</v>
      </c>
      <c r="O2" t="n">
        <v>0</v>
      </c>
      <c r="P2" t="n">
        <v>0</v>
      </c>
      <c r="Q2" t="n">
        <v>47</v>
      </c>
      <c r="R2" t="n">
        <v>16</v>
      </c>
      <c r="S2" t="n">
        <v>88</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Filttagging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Iksjak-Råssnesudden</t>
        </is>
      </c>
      <c r="B3" t="inlineStr">
        <is>
          <t>inventeringsområde</t>
        </is>
      </c>
      <c r="D3" s="1" t="n">
        <v>46223</v>
      </c>
      <c r="E3" s="1" t="n">
        <v>46229</v>
      </c>
      <c r="F3" t="inlineStr">
        <is>
          <t>Norrbottens län</t>
        </is>
      </c>
      <c r="G3" t="inlineStr">
        <is>
          <t>Arjeplog</t>
        </is>
      </c>
      <c r="H3" t="inlineStr">
        <is>
          <t>Övriga statliga verk och myndigheter</t>
        </is>
      </c>
      <c r="I3" t="n">
        <v>676.5</v>
      </c>
      <c r="J3" t="n">
        <v>12</v>
      </c>
      <c r="K3" t="n">
        <v>12</v>
      </c>
      <c r="L3" t="n">
        <v>33</v>
      </c>
      <c r="M3" t="n">
        <v>9</v>
      </c>
      <c r="N3" t="n">
        <v>0</v>
      </c>
      <c r="O3" t="n">
        <v>0</v>
      </c>
      <c r="P3" t="n">
        <v>0</v>
      </c>
      <c r="Q3" t="n">
        <v>42</v>
      </c>
      <c r="R3" t="n">
        <v>9</v>
      </c>
      <c r="S3" t="n">
        <v>66</v>
      </c>
      <c r="T3" t="n">
        <v>535</v>
      </c>
      <c r="U3" t="n">
        <v>521</v>
      </c>
      <c r="V3"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3">
        <f>HYPERLINK("https://klasma.github.io/Logging_FORSKNINGSRESAN_2026_ARJEPLOG/artfynd/Iksjak-Råssnesudden artfynd.xlsx", "Iksjak-Råssnesudden")</f>
        <v/>
      </c>
      <c r="X3">
        <f>HYPERLINK("https://klasma.github.io/Logging_FORSKNINGSRESAN_2026_ARJEPLOG/kartor/Iksjak-Råssnesudden karta.png", "Iksjak-Råssnesudden")</f>
        <v/>
      </c>
      <c r="Y3">
        <f>HYPERLINK("https://klasma.github.io/Logging_FORSKNINGSRESAN_2026_ARJEPLOG/kartor_geotiff/Iksjak-Råssnesudden georefererad karta.tif", "Iksjak-Råssnesudden")</f>
        <v/>
      </c>
      <c r="Z3">
        <f>HYPERLINK("https://klasma.github.io/Logging_FORSKNINGSRESAN_2026_ARJEPLOG/knärot/Iksjak-Råssnesudden karta knärot.png", "Iksjak-Råssnesudden")</f>
        <v/>
      </c>
      <c r="AA3">
        <f>HYPERLINK("https://klasma.github.io/Logging_FORSKNINGSRESAN_2026_ARJEPLOG/klagomål/Iksjak-Råssnesudden FSC-klagomål.docx", "Iksjak-Råssnesudden")</f>
        <v/>
      </c>
      <c r="AB3">
        <f>HYPERLINK("https://klasma.github.io/Logging_FORSKNINGSRESAN_2026_ARJEPLOG/klagomålsmail/Iksjak-Råssnesudden FSC-klagomål mail.docx", "Iksjak-Råssnesudden")</f>
        <v/>
      </c>
      <c r="AC3">
        <f>HYPERLINK("https://klasma.github.io/Logging_FORSKNINGSRESAN_2026_ARJEPLOG/tillsyn/Iksjak-Råssnesudden tillsynsbegäran.docx", "Iksjak-Råssnesudden")</f>
        <v/>
      </c>
      <c r="AD3">
        <f>HYPERLINK("https://klasma.github.io/Logging_FORSKNINGSRESAN_2026_ARJEPLOG/tillsynsmail/Iksjak-Råssnesudden tillsynsbegäran mail.docx", "Iksjak-Råssnesudden")</f>
        <v/>
      </c>
      <c r="AE3">
        <f>HYPERLINK("https://klasma.github.io/Logging_FORSKNINGSRESAN_2026_ARJEPLOG/fåglar/Iksjak-Råssnesudden prioriterade fågelarter.docx", "Iksjak-Råssnesudden")</f>
        <v/>
      </c>
      <c r="AF3" t="inlineStr">
        <is>
          <t>Obruten skog. 80-90 % genomgallrat. Finast längst kanterna. Finns stor parkering vid vägen.</t>
        </is>
      </c>
      <c r="AG3" t="n">
        <v>1</v>
      </c>
      <c r="AH3" t="inlineStr">
        <is>
          <t>Övriga statliga verk och myndigheter</t>
        </is>
      </c>
      <c r="AI3" t="n">
        <v/>
      </c>
      <c r="AJ3" t="n">
        <v/>
      </c>
    </row>
    <row r="4" ht="15" customHeight="1">
      <c r="A4" t="inlineStr">
        <is>
          <t>Laisdalen Björkliden</t>
        </is>
      </c>
      <c r="B4" t="inlineStr">
        <is>
          <t>inventeringsområde</t>
        </is>
      </c>
      <c r="D4" s="1" t="n">
        <v>46223</v>
      </c>
      <c r="E4" s="1" t="n">
        <v>46229</v>
      </c>
      <c r="F4" t="inlineStr">
        <is>
          <t>Norrbottens län</t>
        </is>
      </c>
      <c r="G4" t="inlineStr">
        <is>
          <t>Arjeplog</t>
        </is>
      </c>
      <c r="H4" t="inlineStr">
        <is>
          <t>Övriga statliga verk och myndigheter</t>
        </is>
      </c>
      <c r="I4" t="n">
        <v>119.1</v>
      </c>
      <c r="J4" t="n">
        <v>15</v>
      </c>
      <c r="K4" t="n">
        <v>14</v>
      </c>
      <c r="L4" t="n">
        <v>21</v>
      </c>
      <c r="M4" t="n">
        <v>12</v>
      </c>
      <c r="N4" t="n">
        <v>0</v>
      </c>
      <c r="O4" t="n">
        <v>0</v>
      </c>
      <c r="P4" t="n">
        <v>0</v>
      </c>
      <c r="Q4" t="n">
        <v>33</v>
      </c>
      <c r="R4" t="n">
        <v>12</v>
      </c>
      <c r="S4" t="n">
        <v>65</v>
      </c>
      <c r="T4" t="n">
        <v>662</v>
      </c>
      <c r="U4" t="n">
        <v>626</v>
      </c>
      <c r="V4" s="2" t="inlineStr">
        <is>
          <t>Garnlav
Grantickeporing
Gränsticka
Knärot
Kristallticka
Lappticka
Laxgröppa
Olivbrun kremla
Ostticka
Sprickporing
Tajgaskinn
Vitskaftad svartspik
Blanksvart spiklav
Doftskinn
Gammelgransskål
Harticka
Knottrig blåslav
Lavskrika
Liten svartspik
Lunglav
Nordlig nållav
Rosenticka
Rödbrun blekspik
Skeletocutis exilis
Skrovellav
Stjärntagging
Talltagel
Tallticka
Talltita
Tretåig hackspett
Ullticka
Vitgrynig nållav
Älg
Blodticka
Bronshjon
Bårdlav
Grönkulla
Luddlav
Norrlandslav
Plattlummer
Spindelblomster
Stuplav
Tibast
Trådticka
Vedticka
Vågbandad barkbock
Ögonpyrola
Bergsslok
Ekbräken
Fjällskråp
Fjällskära
Humleblomster
Järpe
Kransmossa
Kärrfibbla
Kärrviol
Linnea
Mattlummer
Nordisk stormhatt
Spillkråka
Tjäder
Orre
Vanlig groda
Brudsporre
Revlummer</t>
        </is>
      </c>
      <c r="W4">
        <f>HYPERLINK("https://klasma.github.io/Logging_FORSKNINGSRESAN_2026_ARJEPLOG/artfynd/Laisdalen Björkliden artfynd.xlsx", "Laisdalen Björkliden")</f>
        <v/>
      </c>
      <c r="X4">
        <f>HYPERLINK("https://klasma.github.io/Logging_FORSKNINGSRESAN_2026_ARJEPLOG/kartor/Laisdalen Björkliden karta.png", "Laisdalen Björkliden")</f>
        <v/>
      </c>
      <c r="Y4">
        <f>HYPERLINK("https://klasma.github.io/Logging_FORSKNINGSRESAN_2026_ARJEPLOG/kartor_geotiff/Laisdalen Björkliden georefererad karta.tif", "Laisdalen Björkliden")</f>
        <v/>
      </c>
      <c r="Z4">
        <f>HYPERLINK("https://klasma.github.io/Logging_FORSKNINGSRESAN_2026_ARJEPLOG/knärot/Laisdalen Björkliden karta knärot.png", "Laisdalen Björkliden")</f>
        <v/>
      </c>
      <c r="AA4">
        <f>HYPERLINK("https://klasma.github.io/Logging_FORSKNINGSRESAN_2026_ARJEPLOG/klagomål/Laisdalen Björkliden FSC-klagomål.docx", "Laisdalen Björkliden")</f>
        <v/>
      </c>
      <c r="AB4">
        <f>HYPERLINK("https://klasma.github.io/Logging_FORSKNINGSRESAN_2026_ARJEPLOG/klagomålsmail/Laisdalen Björkliden FSC-klagomål mail.docx", "Laisdalen Björkliden")</f>
        <v/>
      </c>
      <c r="AC4">
        <f>HYPERLINK("https://klasma.github.io/Logging_FORSKNINGSRESAN_2026_ARJEPLOG/tillsyn/Laisdalen Björkliden tillsynsbegäran.docx", "Laisdalen Björkliden")</f>
        <v/>
      </c>
      <c r="AD4">
        <f>HYPERLINK("https://klasma.github.io/Logging_FORSKNINGSRESAN_2026_ARJEPLOG/tillsynsmail/Laisdalen Björkliden tillsynsbegäran mail.docx", "Laisdalen Björkliden")</f>
        <v/>
      </c>
      <c r="AE4">
        <f>HYPERLINK("https://klasma.github.io/Logging_FORSKNINGSRESAN_2026_ARJEPLOG/fåglar/Laisdalen Björkliden prioriterade fågelarter.docx", "Laisdalen Björkliden")</f>
        <v/>
      </c>
      <c r="AF4" t="inlineStr">
        <is>
          <t>Trolig granbränna, mycket gamla sälgar, spridd död ved, delvis inventerad</t>
        </is>
      </c>
      <c r="AG4" t="n">
        <v>1</v>
      </c>
      <c r="AH4" t="inlineStr">
        <is>
          <t>SFV</t>
        </is>
      </c>
      <c r="AI4" t="inlineStr">
        <is>
          <t>Dag Gran: Gr 4</t>
        </is>
      </c>
      <c r="AJ4" t="n">
        <v/>
      </c>
    </row>
    <row r="5" ht="15" customHeight="1">
      <c r="A5" t="inlineStr">
        <is>
          <t>Muorkenåive-Ássjátj S</t>
        </is>
      </c>
      <c r="B5" t="inlineStr">
        <is>
          <t>inventeringsområde</t>
        </is>
      </c>
      <c r="D5" s="1" t="n">
        <v>46223</v>
      </c>
      <c r="E5" s="1" t="n">
        <v>46229</v>
      </c>
      <c r="F5" t="inlineStr">
        <is>
          <t>Norrbottens län</t>
        </is>
      </c>
      <c r="G5" t="inlineStr">
        <is>
          <t>Arjeplog</t>
        </is>
      </c>
      <c r="I5" t="n">
        <v>113.6</v>
      </c>
      <c r="J5" t="n">
        <v>8</v>
      </c>
      <c r="K5" t="n">
        <v>14</v>
      </c>
      <c r="L5" t="n">
        <v>20</v>
      </c>
      <c r="M5" t="n">
        <v>8</v>
      </c>
      <c r="N5" t="n">
        <v>0</v>
      </c>
      <c r="O5" t="n">
        <v>0</v>
      </c>
      <c r="P5" t="n">
        <v>0</v>
      </c>
      <c r="Q5" t="n">
        <v>28</v>
      </c>
      <c r="R5" t="n">
        <v>8</v>
      </c>
      <c r="S5" t="n">
        <v>52</v>
      </c>
      <c r="T5" t="n">
        <v>340</v>
      </c>
      <c r="U5" t="n">
        <v>328</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46229</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46229</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46229</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46229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46229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46229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46229</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2026-07-26T10:55:00Z</dcterms:created>
  <dcterms:modified xmlns:dcterms="http://purl.org/dc/terms/" xmlns:xsi="http://www.w3.org/2001/XMLSchema-instance" xsi:type="dcterms:W3CDTF">2026-07-26T10:55:00Z</dcterms:modified>
</cp:coreProperties>
</file>