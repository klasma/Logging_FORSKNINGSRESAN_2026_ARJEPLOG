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Muorkenåive-Ássjátj N</t>
        </is>
      </c>
      <c r="B4" t="inlineStr">
        <is>
          <t>inventeringsområde</t>
        </is>
      </c>
      <c r="D4" s="1" t="n">
        <v>46223</v>
      </c>
      <c r="E4" s="1" t="n">
        <v>46226</v>
      </c>
      <c r="F4" t="inlineStr">
        <is>
          <t>Norrbottens län</t>
        </is>
      </c>
      <c r="G4" t="inlineStr">
        <is>
          <t>Arjeplog</t>
        </is>
      </c>
      <c r="I4" t="n">
        <v>111.8</v>
      </c>
      <c r="J4" t="n">
        <v>7</v>
      </c>
      <c r="K4" t="n">
        <v>9</v>
      </c>
      <c r="L4" t="n">
        <v>19</v>
      </c>
      <c r="M4" t="n">
        <v>9</v>
      </c>
      <c r="N4" t="n">
        <v>0</v>
      </c>
      <c r="O4" t="n">
        <v>0</v>
      </c>
      <c r="P4" t="n">
        <v>0</v>
      </c>
      <c r="Q4" t="n">
        <v>28</v>
      </c>
      <c r="R4" t="n">
        <v>9</v>
      </c>
      <c r="S4" t="n">
        <v>43</v>
      </c>
      <c r="T4" t="n">
        <v>160</v>
      </c>
      <c r="U4" t="n">
        <v>160</v>
      </c>
      <c r="V4" s="2" t="inlineStr">
        <is>
          <t>Garnlav
Grantickeporing
Grenlav
Gränsticka
Lecidea subhumida
Nordlig parasitporing
Ostticka
Sprickporing
Vitskaftad svartspik
Blanksvart spiklav
Blågrå svartspik
Brunklöver
Dvärgbägarlav
Gammelgransskål
Harticka
Knottrig blåslav
Lavskrika
Liten svartspik
Rosenticka
Rostania pallida
Rynkskinn
Skrovellav
Stjärntagging
Talltita
Tretåig hackspett
Ullticka
Vedskivlav
Vitgrynig nållav
Blodticka
Bårdlav
Gulnål
Korallrot
Luddlav
Spindelblomster
Stuplav
Vedticka
Ögonpyrola
Brudborste
Ekbräken
Nordisk stormhatt
Ormbär
Tjäder
Fläcknycklar</t>
        </is>
      </c>
      <c r="W4">
        <f>HYPERLINK("https://klasma.github.io/Logging_FORSKNINGSRESAN_2026_ARJEPLOG/artfynd/Muorkenåive-Ássjátj N artfynd.xlsx", "Muorkenåive-Ássjátj N")</f>
        <v/>
      </c>
      <c r="X4">
        <f>HYPERLINK("https://klasma.github.io/Logging_FORSKNINGSRESAN_2026_ARJEPLOG/kartor/Muorkenåive-Ássjátj N karta.png", "Muorkenåive-Ássjátj N")</f>
        <v/>
      </c>
      <c r="Y4">
        <f>HYPERLINK("https://klasma.github.io/Logging_FORSKNINGSRESAN_2026_ARJEPLOG/kartor_geotiff/Muorkenåive-Ássjátj N georefererad karta.tif", "Muorkenåive-Ássjátj N")</f>
        <v/>
      </c>
      <c r="AA4">
        <f>HYPERLINK("https://klasma.github.io/Logging_FORSKNINGSRESAN_2026_ARJEPLOG/klagomål/Muorkenåive-Ássjátj N FSC-klagomål.docx", "Muorkenåive-Ássjátj N")</f>
        <v/>
      </c>
      <c r="AB4">
        <f>HYPERLINK("https://klasma.github.io/Logging_FORSKNINGSRESAN_2026_ARJEPLOG/klagomålsmail/Muorkenåive-Ássjátj N FSC-klagomål mail.docx", "Muorkenåive-Ássjátj N")</f>
        <v/>
      </c>
      <c r="AC4">
        <f>HYPERLINK("https://klasma.github.io/Logging_FORSKNINGSRESAN_2026_ARJEPLOG/tillsyn/Muorkenåive-Ássjátj N tillsynsbegäran.docx", "Muorkenåive-Ássjátj N")</f>
        <v/>
      </c>
      <c r="AD4">
        <f>HYPERLINK("https://klasma.github.io/Logging_FORSKNINGSRESAN_2026_ARJEPLOG/tillsynsmail/Muorkenåive-Ássjátj N tillsynsbegäran mail.docx", "Muorkenåive-Ássjátj N")</f>
        <v/>
      </c>
      <c r="AE4">
        <f>HYPERLINK("https://klasma.github.io/Logging_FORSKNINGSRESAN_2026_ARJEPLOG/fåglar/Muorkenåive-Ássjátj N prioriterade fågelarter.docx", "Muorkenåive-Ássjátj N")</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2</t>
        </is>
      </c>
      <c r="AJ4" t="n">
        <v/>
      </c>
    </row>
    <row r="5" ht="15" customHeight="1">
      <c r="A5" t="inlineStr">
        <is>
          <t>Maskaure Maddagielas N, 68,3 ha</t>
        </is>
      </c>
      <c r="B5" t="inlineStr">
        <is>
          <t>inventeringsområde</t>
        </is>
      </c>
      <c r="D5" s="1" t="n">
        <v>46223</v>
      </c>
      <c r="E5" s="1" t="n">
        <v>46226</v>
      </c>
      <c r="F5" t="inlineStr">
        <is>
          <t>Norrbottens län</t>
        </is>
      </c>
      <c r="G5" t="inlineStr">
        <is>
          <t>Arjeplog</t>
        </is>
      </c>
      <c r="H5" t="inlineStr">
        <is>
          <t>Sveaskog</t>
        </is>
      </c>
      <c r="I5" t="n">
        <v>68.2</v>
      </c>
      <c r="J5" t="n">
        <v>11</v>
      </c>
      <c r="K5" t="n">
        <v>11</v>
      </c>
      <c r="L5" t="n">
        <v>20</v>
      </c>
      <c r="M5" t="n">
        <v>4</v>
      </c>
      <c r="N5" t="n">
        <v>0</v>
      </c>
      <c r="O5" t="n">
        <v>0</v>
      </c>
      <c r="P5" t="n">
        <v>0</v>
      </c>
      <c r="Q5" t="n">
        <v>24</v>
      </c>
      <c r="R5" t="n">
        <v>4</v>
      </c>
      <c r="S5" t="n">
        <v>41</v>
      </c>
      <c r="T5" t="n">
        <v>191</v>
      </c>
      <c r="U5" t="n">
        <v>188</v>
      </c>
      <c r="V5"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5">
        <f>HYPERLINK("https://klasma.github.io/Logging_FORSKNINGSRESAN_2026_ARJEPLOG/artfynd/Maskaure Maddagielas N, 68,3 ha artfynd.xlsx", "Maskaure Maddagielas N, 68,3 ha")</f>
        <v/>
      </c>
      <c r="X5">
        <f>HYPERLINK("https://klasma.github.io/Logging_FORSKNINGSRESAN_2026_ARJEPLOG/kartor/Maskaure Maddagielas N, 68,3 ha karta.png", "Maskaure Maddagielas N, 68,3 ha")</f>
        <v/>
      </c>
      <c r="Y5">
        <f>HYPERLINK("https://klasma.github.io/Logging_FORSKNINGSRESAN_2026_ARJEPLOG/kartor_geotiff/Maskaure Maddagielas N, 68,3 ha georefererad karta.tif", "Maskaure Maddagielas N, 68,3 ha")</f>
        <v/>
      </c>
      <c r="AA5">
        <f>HYPERLINK("https://klasma.github.io/Logging_FORSKNINGSRESAN_2026_ARJEPLOG/klagomål/Maskaure Maddagielas N, 68,3 ha FSC-klagomål.docx", "Maskaure Maddagielas N, 68,3 ha")</f>
        <v/>
      </c>
      <c r="AB5">
        <f>HYPERLINK("https://klasma.github.io/Logging_FORSKNINGSRESAN_2026_ARJEPLOG/klagomålsmail/Maskaure Maddagielas N, 68,3 ha FSC-klagomål mail.docx", "Maskaure Maddagielas N, 68,3 ha")</f>
        <v/>
      </c>
      <c r="AC5">
        <f>HYPERLINK("https://klasma.github.io/Logging_FORSKNINGSRESAN_2026_ARJEPLOG/tillsyn/Maskaure Maddagielas N, 68,3 ha tillsynsbegäran.docx", "Maskaure Maddagielas N, 68,3 ha")</f>
        <v/>
      </c>
      <c r="AD5">
        <f>HYPERLINK("https://klasma.github.io/Logging_FORSKNINGSRESAN_2026_ARJEPLOG/tillsynsmail/Maskaure Maddagielas N, 68,3 ha tillsynsbegäran mail.docx", "Maskaure Maddagielas N, 68,3 ha")</f>
        <v/>
      </c>
      <c r="AE5">
        <f>HYPERLINK("https://klasma.github.io/Logging_FORSKNINGSRESAN_2026_ARJEPLOG/fåglar/Maskaure Maddagielas N, 68,3 ha prioriterade fågelarter.docx", "Maskaure Maddagielas N, 68,3 ha")</f>
        <v/>
      </c>
      <c r="AF5" t="inlineStr">
        <is>
          <t>k-skog, tre samplaneringsomr inom ytan, frivilliga avsättningar inom ytan</t>
        </is>
      </c>
      <c r="AG5" t="n">
        <v>1</v>
      </c>
      <c r="AH5" t="inlineStr">
        <is>
          <t>Sveaskog</t>
        </is>
      </c>
      <c r="AI5" t="inlineStr">
        <is>
          <t>Ons: Gr 4</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Maskaure Tsågávrrie avvanm, 17,8 ha</t>
        </is>
      </c>
      <c r="B7" t="inlineStr">
        <is>
          <t>inventeringsområde</t>
        </is>
      </c>
      <c r="D7" s="1" t="n">
        <v>46223</v>
      </c>
      <c r="E7" s="1" t="n">
        <v>46226</v>
      </c>
      <c r="F7" t="inlineStr">
        <is>
          <t>Norrbottens län</t>
        </is>
      </c>
      <c r="G7" t="inlineStr">
        <is>
          <t>Arjeplog</t>
        </is>
      </c>
      <c r="I7" t="n">
        <v>17.8</v>
      </c>
      <c r="J7" t="n">
        <v>7</v>
      </c>
      <c r="K7" t="n">
        <v>9</v>
      </c>
      <c r="L7" t="n">
        <v>17</v>
      </c>
      <c r="M7" t="n">
        <v>4</v>
      </c>
      <c r="N7" t="n">
        <v>0</v>
      </c>
      <c r="O7" t="n">
        <v>0</v>
      </c>
      <c r="P7" t="n">
        <v>0</v>
      </c>
      <c r="Q7" t="n">
        <v>21</v>
      </c>
      <c r="R7" t="n">
        <v>4</v>
      </c>
      <c r="S7" t="n">
        <v>33</v>
      </c>
      <c r="T7" t="n">
        <v>91</v>
      </c>
      <c r="U7" t="n">
        <v>91</v>
      </c>
      <c r="V7"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7">
        <f>HYPERLINK("https://klasma.github.io/Logging_FORSKNINGSRESAN_2026_ARJEPLOG/artfynd/Maskaure Tsågávrrie avvanm, 17,8 ha artfynd.xlsx", "Maskaure Tsågávrrie avvanm, 17,8 ha")</f>
        <v/>
      </c>
      <c r="X7">
        <f>HYPERLINK("https://klasma.github.io/Logging_FORSKNINGSRESAN_2026_ARJEPLOG/kartor/Maskaure Tsågávrrie avvanm, 17,8 ha karta.png", "Maskaure Tsågávrrie avvanm, 17,8 ha")</f>
        <v/>
      </c>
      <c r="Y7">
        <f>HYPERLINK("https://klasma.github.io/Logging_FORSKNINGSRESAN_2026_ARJEPLOG/kartor_geotiff/Maskaure Tsågávrrie avvanm, 17,8 ha georefererad karta.tif", "Maskaure Tsågávrrie avvanm, 17,8 ha")</f>
        <v/>
      </c>
      <c r="AA7">
        <f>HYPERLINK("https://klasma.github.io/Logging_FORSKNINGSRESAN_2026_ARJEPLOG/klagomål/Maskaure Tsågávrrie avvanm, 17,8 ha FSC-klagomål.docx", "Maskaure Tsågávrrie avvanm, 17,8 ha")</f>
        <v/>
      </c>
      <c r="AB7">
        <f>HYPERLINK("https://klasma.github.io/Logging_FORSKNINGSRESAN_2026_ARJEPLOG/klagomålsmail/Maskaure Tsågávrrie avvanm, 17,8 ha FSC-klagomål mail.docx", "Maskaure Tsågávrrie avvanm, 17,8 ha")</f>
        <v/>
      </c>
      <c r="AC7">
        <f>HYPERLINK("https://klasma.github.io/Logging_FORSKNINGSRESAN_2026_ARJEPLOG/tillsyn/Maskaure Tsågávrrie avvanm, 17,8 ha tillsynsbegäran.docx", "Maskaure Tsågávrrie avvanm, 17,8 ha")</f>
        <v/>
      </c>
      <c r="AD7">
        <f>HYPERLINK("https://klasma.github.io/Logging_FORSKNINGSRESAN_2026_ARJEPLOG/tillsynsmail/Maskaure Tsågávrrie avvanm, 17,8 ha tillsynsbegäran mail.docx", "Maskaure Tsågávrrie avvanm, 17,8 ha")</f>
        <v/>
      </c>
      <c r="AE7">
        <f>HYPERLINK("https://klasma.github.io/Logging_FORSKNINGSRESAN_2026_ARJEPLOG/fåglar/Maskaure Tsågávrrie avvanm, 17,8 ha prioriterade fågelarter.docx", "Maskaure Tsågávrrie avvanm, 17,8 ha")</f>
        <v/>
      </c>
      <c r="AF7" t="inlineStr">
        <is>
          <t>avvanm</t>
        </is>
      </c>
      <c r="AG7" t="n">
        <v>1</v>
      </c>
      <c r="AH7" t="inlineStr">
        <is>
          <t>Privat</t>
        </is>
      </c>
      <c r="AI7" t="inlineStr">
        <is>
          <t>Ons: Gr 2 (prio 3)</t>
        </is>
      </c>
      <c r="AJ7" t="inlineStr">
        <is>
          <t>A 64809-2023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Laisdalen Björkliden</t>
        </is>
      </c>
      <c r="B9" t="inlineStr">
        <is>
          <t>inventeringsområde</t>
        </is>
      </c>
      <c r="D9" s="1" t="n">
        <v>46223</v>
      </c>
      <c r="E9" s="1" t="n">
        <v>46226</v>
      </c>
      <c r="F9" t="inlineStr">
        <is>
          <t>Norrbottens län</t>
        </is>
      </c>
      <c r="G9" t="inlineStr">
        <is>
          <t>Arjeplog</t>
        </is>
      </c>
      <c r="H9" t="inlineStr">
        <is>
          <t>Övriga statliga verk och myndigheter</t>
        </is>
      </c>
      <c r="I9" t="n">
        <v>119.1</v>
      </c>
      <c r="J9" t="n">
        <v>9</v>
      </c>
      <c r="K9" t="n">
        <v>7</v>
      </c>
      <c r="L9" t="n">
        <v>14</v>
      </c>
      <c r="M9" t="n">
        <v>5</v>
      </c>
      <c r="N9" t="n">
        <v>0</v>
      </c>
      <c r="O9" t="n">
        <v>0</v>
      </c>
      <c r="P9" t="n">
        <v>0</v>
      </c>
      <c r="Q9" t="n">
        <v>19</v>
      </c>
      <c r="R9" t="n">
        <v>5</v>
      </c>
      <c r="S9" t="n">
        <v>31</v>
      </c>
      <c r="T9" t="n">
        <v>163</v>
      </c>
      <c r="U9" t="n">
        <v>127</v>
      </c>
      <c r="V9" s="2" t="inlineStr">
        <is>
          <t>Garnlav
Grantickeporing
Gränsticka
Lappticka
Ostticka
Gammelgransskål
Harticka
Knottrig blåslav
Lavskrika
Liten svartspik
Lunglav
Rosenticka
Rödbrun blekspik
Skrovellav
Talltagel
Talltita
Tretåig hackspett
Ullticka
Vitgrynig nållav
Bårdlav
Grönkulla
Luddlav
Plattlummer
Spindelblomster
Stuplav
Trådticka
Ekbräken
Fjällskära
Spillkråka
Tjäder
Brudsporre</t>
        </is>
      </c>
      <c r="W9">
        <f>HYPERLINK("https://klasma.github.io/Logging_FORSKNINGSRESAN_2026_ARJEPLOG/artfynd/Laisdalen Björkliden artfynd.xlsx", "Laisdalen Björkliden")</f>
        <v/>
      </c>
      <c r="X9">
        <f>HYPERLINK("https://klasma.github.io/Logging_FORSKNINGSRESAN_2026_ARJEPLOG/kartor/Laisdalen Björkliden karta.png", "Laisdalen Björkliden")</f>
        <v/>
      </c>
      <c r="Y9">
        <f>HYPERLINK("https://klasma.github.io/Logging_FORSKNINGSRESAN_2026_ARJEPLOG/kartor_geotiff/Laisdalen Björkliden georefererad karta.tif", "Laisdalen Björkliden")</f>
        <v/>
      </c>
      <c r="AA9">
        <f>HYPERLINK("https://klasma.github.io/Logging_FORSKNINGSRESAN_2026_ARJEPLOG/klagomål/Laisdalen Björkliden FSC-klagomål.docx", "Laisdalen Björkliden")</f>
        <v/>
      </c>
      <c r="AB9">
        <f>HYPERLINK("https://klasma.github.io/Logging_FORSKNINGSRESAN_2026_ARJEPLOG/klagomålsmail/Laisdalen Björkliden FSC-klagomål mail.docx", "Laisdalen Björkliden")</f>
        <v/>
      </c>
      <c r="AC9">
        <f>HYPERLINK("https://klasma.github.io/Logging_FORSKNINGSRESAN_2026_ARJEPLOG/tillsyn/Laisdalen Björkliden tillsynsbegäran.docx", "Laisdalen Björkliden")</f>
        <v/>
      </c>
      <c r="AD9">
        <f>HYPERLINK("https://klasma.github.io/Logging_FORSKNINGSRESAN_2026_ARJEPLOG/tillsynsmail/Laisdalen Björkliden tillsynsbegäran mail.docx", "Laisdalen Björkliden")</f>
        <v/>
      </c>
      <c r="AE9">
        <f>HYPERLINK("https://klasma.github.io/Logging_FORSKNINGSRESAN_2026_ARJEPLOG/fåglar/Laisdalen Björkliden prioriterade fågelarter.docx", "Laisdalen Björkliden")</f>
        <v/>
      </c>
      <c r="AF9" t="inlineStr">
        <is>
          <t>Trolig granbränna, mycket gamla sälgar, spridd död ved, delvis inventerad</t>
        </is>
      </c>
      <c r="AG9" t="n">
        <v>1</v>
      </c>
      <c r="AH9" t="inlineStr">
        <is>
          <t>SFV</t>
        </is>
      </c>
      <c r="AI9" t="inlineStr">
        <is>
          <t>Dag Gran: Gr 4</t>
        </is>
      </c>
      <c r="AJ9" t="n">
        <v/>
      </c>
    </row>
    <row r="10" ht="15" customHeight="1">
      <c r="A10" t="inlineStr">
        <is>
          <t>Maskaure Skornjamyran avvanm, 11,2 ha</t>
        </is>
      </c>
      <c r="B10" t="inlineStr">
        <is>
          <t>inventeringsområde</t>
        </is>
      </c>
      <c r="D10" s="1" t="n">
        <v>46223</v>
      </c>
      <c r="E10" s="1" t="n">
        <v>46226</v>
      </c>
      <c r="F10" t="inlineStr">
        <is>
          <t>Norrbottens län</t>
        </is>
      </c>
      <c r="G10" t="inlineStr">
        <is>
          <t>Arjeplog</t>
        </is>
      </c>
      <c r="I10" t="n">
        <v>11.2</v>
      </c>
      <c r="J10" t="n">
        <v>4</v>
      </c>
      <c r="K10" t="n">
        <v>4</v>
      </c>
      <c r="L10" t="n">
        <v>16</v>
      </c>
      <c r="M10" t="n">
        <v>7</v>
      </c>
      <c r="N10" t="n">
        <v>0</v>
      </c>
      <c r="O10" t="n">
        <v>0</v>
      </c>
      <c r="P10" t="n">
        <v>0</v>
      </c>
      <c r="Q10" t="n">
        <v>23</v>
      </c>
      <c r="R10" t="n">
        <v>7</v>
      </c>
      <c r="S10" t="n">
        <v>28</v>
      </c>
      <c r="T10" t="n">
        <v>125</v>
      </c>
      <c r="U10" t="n">
        <v>125</v>
      </c>
      <c r="V10"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Uddnäs avvanm, 4,6 ha</t>
        </is>
      </c>
      <c r="B11" t="inlineStr">
        <is>
          <t>inventeringsområde</t>
        </is>
      </c>
      <c r="D11" s="1" t="n">
        <v>46223</v>
      </c>
      <c r="E11" s="1" t="n">
        <v>46226</v>
      </c>
      <c r="F11" t="inlineStr">
        <is>
          <t>Norrbottens län</t>
        </is>
      </c>
      <c r="G11" t="inlineStr">
        <is>
          <t>Arjeplog</t>
        </is>
      </c>
      <c r="I11" t="n">
        <v>4.6</v>
      </c>
      <c r="J11" t="n">
        <v>3</v>
      </c>
      <c r="K11" t="n">
        <v>3</v>
      </c>
      <c r="L11" t="n">
        <v>17</v>
      </c>
      <c r="M11" t="n">
        <v>5</v>
      </c>
      <c r="N11" t="n">
        <v>0</v>
      </c>
      <c r="O11" t="n">
        <v>0</v>
      </c>
      <c r="P11" t="n">
        <v>0</v>
      </c>
      <c r="Q11" t="n">
        <v>22</v>
      </c>
      <c r="R11" t="n">
        <v>5</v>
      </c>
      <c r="S11" t="n">
        <v>26</v>
      </c>
      <c r="T11" t="n">
        <v>106</v>
      </c>
      <c r="U11" t="n">
        <v>106</v>
      </c>
      <c r="V11"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1">
        <f>HYPERLINK("https://klasma.github.io/Logging_FORSKNINGSRESAN_2026_ARJEPLOG/artfynd/Maskaure Uddnäs avvanm, 4,6 ha artfynd.xlsx", "Maskaure Uddnäs avvanm, 4,6 ha")</f>
        <v/>
      </c>
      <c r="X11">
        <f>HYPERLINK("https://klasma.github.io/Logging_FORSKNINGSRESAN_2026_ARJEPLOG/kartor/Maskaure Uddnäs avvanm, 4,6 ha karta.png", "Maskaure Uddnäs avvanm, 4,6 ha")</f>
        <v/>
      </c>
      <c r="Y11">
        <f>HYPERLINK("https://klasma.github.io/Logging_FORSKNINGSRESAN_2026_ARJEPLOG/kartor_geotiff/Maskaure Uddnäs avvanm, 4,6 ha georefererad karta.tif", "Maskaure Uddnäs avvanm, 4,6 ha")</f>
        <v/>
      </c>
      <c r="AA11">
        <f>HYPERLINK("https://klasma.github.io/Logging_FORSKNINGSRESAN_2026_ARJEPLOG/klagomål/Maskaure Uddnäs avvanm, 4,6 ha FSC-klagomål.docx", "Maskaure Uddnäs avvanm, 4,6 ha")</f>
        <v/>
      </c>
      <c r="AB11">
        <f>HYPERLINK("https://klasma.github.io/Logging_FORSKNINGSRESAN_2026_ARJEPLOG/klagomålsmail/Maskaure Uddnäs avvanm, 4,6 ha FSC-klagomål mail.docx", "Maskaure Uddnäs avvanm, 4,6 ha")</f>
        <v/>
      </c>
      <c r="AC11">
        <f>HYPERLINK("https://klasma.github.io/Logging_FORSKNINGSRESAN_2026_ARJEPLOG/tillsyn/Maskaure Uddnäs avvanm, 4,6 ha tillsynsbegäran.docx", "Maskaure Uddnäs avvanm, 4,6 ha")</f>
        <v/>
      </c>
      <c r="AD11">
        <f>HYPERLINK("https://klasma.github.io/Logging_FORSKNINGSRESAN_2026_ARJEPLOG/tillsynsmail/Maskaure Uddnäs avvanm, 4,6 ha tillsynsbegäran mail.docx", "Maskaure Uddnäs avvanm, 4,6 ha")</f>
        <v/>
      </c>
      <c r="AE11">
        <f>HYPERLINK("https://klasma.github.io/Logging_FORSKNINGSRESAN_2026_ARJEPLOG/fåglar/Maskaure Uddnäs avvanm, 4,6 ha prioriterade fågelarter.docx", "Maskaure Uddnäs avvanm, 4,6 ha")</f>
        <v/>
      </c>
      <c r="AF11" t="inlineStr">
        <is>
          <t>Barrblandskog med äldre gran, nyckelbiotop, avvanm</t>
        </is>
      </c>
      <c r="AG11" t="n">
        <v>1</v>
      </c>
      <c r="AH11" t="inlineStr">
        <is>
          <t>Privat</t>
        </is>
      </c>
      <c r="AI11" t="inlineStr">
        <is>
          <t>Ons: Gr 3</t>
        </is>
      </c>
      <c r="AJ11" t="inlineStr">
        <is>
          <t>A 37442-2025</t>
        </is>
      </c>
    </row>
    <row r="12" ht="15" customHeight="1">
      <c r="A12" t="inlineStr">
        <is>
          <t>Västra Kikkejaure Rengärdet avvanm</t>
        </is>
      </c>
      <c r="B12" t="inlineStr">
        <is>
          <t>inventeringsområde</t>
        </is>
      </c>
      <c r="D12" s="1" t="n">
        <v>46223</v>
      </c>
      <c r="E12" s="1" t="n">
        <v>46226</v>
      </c>
      <c r="F12" t="inlineStr">
        <is>
          <t>Norrbottens län</t>
        </is>
      </c>
      <c r="G12" t="inlineStr">
        <is>
          <t>Arjeplog</t>
        </is>
      </c>
      <c r="H12" t="inlineStr">
        <is>
          <t>Allmännings- och besparingsskogar</t>
        </is>
      </c>
      <c r="I12" t="n">
        <v>10.4</v>
      </c>
      <c r="J12" t="n">
        <v>5</v>
      </c>
      <c r="K12" t="n">
        <v>3</v>
      </c>
      <c r="L12" t="n">
        <v>18</v>
      </c>
      <c r="M12" t="n">
        <v>3</v>
      </c>
      <c r="N12" t="n">
        <v>0</v>
      </c>
      <c r="O12" t="n">
        <v>0</v>
      </c>
      <c r="P12" t="n">
        <v>0</v>
      </c>
      <c r="Q12" t="n">
        <v>21</v>
      </c>
      <c r="R12" t="n">
        <v>3</v>
      </c>
      <c r="S12" t="n">
        <v>26</v>
      </c>
      <c r="T12" t="n">
        <v>95</v>
      </c>
      <c r="U12" t="n">
        <v>61</v>
      </c>
      <c r="V1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2">
        <f>HYPERLINK("https://klasma.github.io/Logging_FORSKNINGSRESAN_2026_ARJEPLOG/artfynd/Västra Kikkejaure Rengärdet avvanm artfynd.xlsx", "Västra Kikkejaure Rengärdet avvanm")</f>
        <v/>
      </c>
      <c r="X12">
        <f>HYPERLINK("https://klasma.github.io/Logging_FORSKNINGSRESAN_2026_ARJEPLOG/kartor/Västra Kikkejaure Rengärdet avvanm karta.png", "Västra Kikkejaure Rengärdet avvanm")</f>
        <v/>
      </c>
      <c r="Y12">
        <f>HYPERLINK("https://klasma.github.io/Logging_FORSKNINGSRESAN_2026_ARJEPLOG/kartor_geotiff/Västra Kikkejaure Rengärdet avvanm georefererad karta.tif", "Västra Kikkejaure Rengärdet avvanm")</f>
        <v/>
      </c>
      <c r="AA12">
        <f>HYPERLINK("https://klasma.github.io/Logging_FORSKNINGSRESAN_2026_ARJEPLOG/klagomål/Västra Kikkejaure Rengärdet avvanm FSC-klagomål.docx", "Västra Kikkejaure Rengärdet avvanm")</f>
        <v/>
      </c>
      <c r="AB12">
        <f>HYPERLINK("https://klasma.github.io/Logging_FORSKNINGSRESAN_2026_ARJEPLOG/klagomålsmail/Västra Kikkejaure Rengärdet avvanm FSC-klagomål mail.docx", "Västra Kikkejaure Rengärdet avvanm")</f>
        <v/>
      </c>
      <c r="AC12">
        <f>HYPERLINK("https://klasma.github.io/Logging_FORSKNINGSRESAN_2026_ARJEPLOG/tillsyn/Västra Kikkejaure Rengärdet avvanm tillsynsbegäran.docx", "Västra Kikkejaure Rengärdet avvanm")</f>
        <v/>
      </c>
      <c r="AD12">
        <f>HYPERLINK("https://klasma.github.io/Logging_FORSKNINGSRESAN_2026_ARJEPLOG/tillsynsmail/Västra Kikkejaure Rengärdet avvanm tillsynsbegäran mail.docx", "Västra Kikkejaure Rengärdet avvanm")</f>
        <v/>
      </c>
      <c r="AE12">
        <f>HYPERLINK("https://klasma.github.io/Logging_FORSKNINGSRESAN_2026_ARJEPLOG/fåglar/Västra Kikkejaure Rengärdet avvanm prioriterade fågelarter.docx", "Västra Kikkejaure Rengärdet avvanm")</f>
        <v/>
      </c>
      <c r="AF12" t="inlineStr">
        <is>
          <t>Delvis inventerad av Fältbiologerna, komplettera! avvanm</t>
        </is>
      </c>
      <c r="AG12" t="n">
        <v>1</v>
      </c>
      <c r="AH12" t="inlineStr">
        <is>
          <t>Allmännings- och besparingsskogar</t>
        </is>
      </c>
      <c r="AI12" t="inlineStr">
        <is>
          <t>Tis: Gr 2 (prio 2)</t>
        </is>
      </c>
      <c r="AJ12" t="inlineStr">
        <is>
          <t>A 26954-2022</t>
        </is>
      </c>
    </row>
    <row r="13" ht="15" customHeight="1">
      <c r="A13" t="inlineStr">
        <is>
          <t>Maskaure Renskötartjärnen, 8,3 ha</t>
        </is>
      </c>
      <c r="B13" t="inlineStr">
        <is>
          <t>inventeringsområde</t>
        </is>
      </c>
      <c r="D13" s="1" t="n">
        <v>46223</v>
      </c>
      <c r="E13" s="1" t="n">
        <v>46226</v>
      </c>
      <c r="F13" t="inlineStr">
        <is>
          <t>Norrbottens län</t>
        </is>
      </c>
      <c r="G13" t="inlineStr">
        <is>
          <t>Arjeplog</t>
        </is>
      </c>
      <c r="H13" t="inlineStr">
        <is>
          <t>Sveaskog</t>
        </is>
      </c>
      <c r="I13" t="n">
        <v>8.300000000000001</v>
      </c>
      <c r="J13" t="n">
        <v>2</v>
      </c>
      <c r="K13" t="n">
        <v>2</v>
      </c>
      <c r="L13" t="n">
        <v>12</v>
      </c>
      <c r="M13" t="n">
        <v>8</v>
      </c>
      <c r="N13" t="n">
        <v>0</v>
      </c>
      <c r="O13" t="n">
        <v>1</v>
      </c>
      <c r="P13" t="n">
        <v>0</v>
      </c>
      <c r="Q13" t="n">
        <v>21</v>
      </c>
      <c r="R13" t="n">
        <v>9</v>
      </c>
      <c r="S13" t="n">
        <v>24</v>
      </c>
      <c r="T13" t="n">
        <v>80</v>
      </c>
      <c r="U13" t="n">
        <v>48</v>
      </c>
      <c r="V13"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Njuöniesvárrie NV avvanm</t>
        </is>
      </c>
      <c r="B14" t="inlineStr">
        <is>
          <t>inventeringsområde</t>
        </is>
      </c>
      <c r="D14" s="1" t="n">
        <v>46223</v>
      </c>
      <c r="E14" s="1" t="n">
        <v>46226</v>
      </c>
      <c r="F14" t="inlineStr">
        <is>
          <t>Norrbottens län</t>
        </is>
      </c>
      <c r="G14" t="inlineStr">
        <is>
          <t>Arjeplog</t>
        </is>
      </c>
      <c r="H14" t="inlineStr">
        <is>
          <t>Allmännings- och besparingsskogar</t>
        </is>
      </c>
      <c r="I14" t="n">
        <v>39.8</v>
      </c>
      <c r="J14" t="n">
        <v>4</v>
      </c>
      <c r="K14" t="n">
        <v>3</v>
      </c>
      <c r="L14" t="n">
        <v>13</v>
      </c>
      <c r="M14" t="n">
        <v>5</v>
      </c>
      <c r="N14" t="n">
        <v>1</v>
      </c>
      <c r="O14" t="n">
        <v>0</v>
      </c>
      <c r="P14" t="n">
        <v>0</v>
      </c>
      <c r="Q14" t="n">
        <v>19</v>
      </c>
      <c r="R14" t="n">
        <v>6</v>
      </c>
      <c r="S14" t="n">
        <v>23</v>
      </c>
      <c r="T14" t="n">
        <v>73</v>
      </c>
      <c r="U14" t="n">
        <v>73</v>
      </c>
      <c r="V1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4">
        <f>HYPERLINK("https://klasma.github.io/Logging_FORSKNINGSRESAN_2026_ARJEPLOG/artfynd/Njuöniesvárrie NV avvanm artfynd.xlsx", "Njuöniesvárrie NV avvanm")</f>
        <v/>
      </c>
      <c r="X14">
        <f>HYPERLINK("https://klasma.github.io/Logging_FORSKNINGSRESAN_2026_ARJEPLOG/kartor/Njuöniesvárrie NV avvanm karta.png", "Njuöniesvárrie NV avvanm")</f>
        <v/>
      </c>
      <c r="Y14">
        <f>HYPERLINK("https://klasma.github.io/Logging_FORSKNINGSRESAN_2026_ARJEPLOG/kartor_geotiff/Njuöniesvárrie NV avvanm georefererad karta.tif", "Njuöniesvárrie NV avvanm")</f>
        <v/>
      </c>
      <c r="Z14">
        <f>HYPERLINK("https://klasma.github.io/Logging_FORSKNINGSRESAN_2026_ARJEPLOG/knärot/Njuöniesvárrie NV avvanm karta knärot.png", "Njuöniesvárrie NV avvanm")</f>
        <v/>
      </c>
      <c r="AA14">
        <f>HYPERLINK("https://klasma.github.io/Logging_FORSKNINGSRESAN_2026_ARJEPLOG/klagomål/Njuöniesvárrie NV avvanm FSC-klagomål.docx", "Njuöniesvárrie NV avvanm")</f>
        <v/>
      </c>
      <c r="AB14">
        <f>HYPERLINK("https://klasma.github.io/Logging_FORSKNINGSRESAN_2026_ARJEPLOG/klagomålsmail/Njuöniesvárrie NV avvanm FSC-klagomål mail.docx", "Njuöniesvárrie NV avvanm")</f>
        <v/>
      </c>
      <c r="AC14">
        <f>HYPERLINK("https://klasma.github.io/Logging_FORSKNINGSRESAN_2026_ARJEPLOG/tillsyn/Njuöniesvárrie NV avvanm tillsynsbegäran.docx", "Njuöniesvárrie NV avvanm")</f>
        <v/>
      </c>
      <c r="AD14">
        <f>HYPERLINK("https://klasma.github.io/Logging_FORSKNINGSRESAN_2026_ARJEPLOG/tillsynsmail/Njuöniesvárrie NV avvanm tillsynsbegäran mail.docx", "Njuöniesvárrie NV avvanm")</f>
        <v/>
      </c>
      <c r="AE14">
        <f>HYPERLINK("https://klasma.github.io/Logging_FORSKNINGSRESAN_2026_ARJEPLOG/fåglar/Njuöniesvárrie NV avvanm prioriterade fågelarter.docx", "Njuöniesvárrie NV avvanm")</f>
        <v/>
      </c>
      <c r="AF14" t="inlineStr">
        <is>
          <t>Barrblandskog, eventuellt bom!! avvanm</t>
        </is>
      </c>
      <c r="AG14" t="n">
        <v>1</v>
      </c>
      <c r="AH14" t="inlineStr">
        <is>
          <t>Allmännings- och besparingsskogar</t>
        </is>
      </c>
      <c r="AI14" t="n">
        <v/>
      </c>
      <c r="AJ14" t="n">
        <v/>
      </c>
    </row>
    <row r="15" ht="15" customHeight="1">
      <c r="A15" t="inlineStr">
        <is>
          <t>Maskaure Långmyran SV, 6,8 ha</t>
        </is>
      </c>
      <c r="B15" t="inlineStr">
        <is>
          <t>inventeringsområde</t>
        </is>
      </c>
      <c r="D15" s="1" t="n">
        <v>46223</v>
      </c>
      <c r="E15" s="1" t="n">
        <v>46226</v>
      </c>
      <c r="F15" t="inlineStr">
        <is>
          <t>Norrbottens län</t>
        </is>
      </c>
      <c r="G15" t="inlineStr">
        <is>
          <t>Arjeplog</t>
        </is>
      </c>
      <c r="H15" t="inlineStr">
        <is>
          <t>Sveaskog</t>
        </is>
      </c>
      <c r="I15" t="n">
        <v>6.9</v>
      </c>
      <c r="J15" t="n">
        <v>2</v>
      </c>
      <c r="K15" t="n">
        <v>1</v>
      </c>
      <c r="L15" t="n">
        <v>15</v>
      </c>
      <c r="M15" t="n">
        <v>4</v>
      </c>
      <c r="N15" t="n">
        <v>0</v>
      </c>
      <c r="O15" t="n">
        <v>0</v>
      </c>
      <c r="P15" t="n">
        <v>0</v>
      </c>
      <c r="Q15" t="n">
        <v>19</v>
      </c>
      <c r="R15" t="n">
        <v>4</v>
      </c>
      <c r="S15" t="n">
        <v>22</v>
      </c>
      <c r="T15" t="n">
        <v>57</v>
      </c>
      <c r="U15" t="n">
        <v>49</v>
      </c>
      <c r="V15"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Maskaure Mullholm avvanm, 39,6 ha</t>
        </is>
      </c>
      <c r="B16" t="inlineStr">
        <is>
          <t>inventeringsområde</t>
        </is>
      </c>
      <c r="D16" s="1" t="n">
        <v>46223</v>
      </c>
      <c r="E16" s="1" t="n">
        <v>46226</v>
      </c>
      <c r="F16" t="inlineStr">
        <is>
          <t>Norrbottens län</t>
        </is>
      </c>
      <c r="G16" t="inlineStr">
        <is>
          <t>Arjeplog</t>
        </is>
      </c>
      <c r="I16" t="n">
        <v>39.6</v>
      </c>
      <c r="J16" t="n">
        <v>9</v>
      </c>
      <c r="K16" t="n">
        <v>1</v>
      </c>
      <c r="L16" t="n">
        <v>14</v>
      </c>
      <c r="M16" t="n">
        <v>1</v>
      </c>
      <c r="N16" t="n">
        <v>0</v>
      </c>
      <c r="O16" t="n">
        <v>0</v>
      </c>
      <c r="P16" t="n">
        <v>0</v>
      </c>
      <c r="Q16" t="n">
        <v>15</v>
      </c>
      <c r="R16" t="n">
        <v>1</v>
      </c>
      <c r="S16" t="n">
        <v>19</v>
      </c>
      <c r="T16" t="n">
        <v>54</v>
      </c>
      <c r="U16" t="n">
        <v>38</v>
      </c>
      <c r="V16" s="2" t="inlineStr">
        <is>
          <t>Fläckporing
Blanksvart spiklav
Drillsnäppa
Dropptaggsvamp
Duvhök
Dvärgbägarlav
Kortskaftad ärgspik
Lavskrika
Nordtagging
Talltagel
Talltita
Tretåig hackspett
Vedflamlav
Vedskivlav
Älg
Plattlummer
Spillkråka
Tjäder
Havsörn</t>
        </is>
      </c>
      <c r="W16">
        <f>HYPERLINK("https://klasma.github.io/Logging_FORSKNINGSRESAN_2026_ARJEPLOG/artfynd/Maskaure Mullholm avvanm, 39,6 ha artfynd.xlsx", "Maskaure Mullholm avvanm, 39,6 ha")</f>
        <v/>
      </c>
      <c r="X16">
        <f>HYPERLINK("https://klasma.github.io/Logging_FORSKNINGSRESAN_2026_ARJEPLOG/kartor/Maskaure Mullholm avvanm, 39,6 ha karta.png", "Maskaure Mullholm avvanm, 39,6 ha")</f>
        <v/>
      </c>
      <c r="Y16">
        <f>HYPERLINK("https://klasma.github.io/Logging_FORSKNINGSRESAN_2026_ARJEPLOG/kartor_geotiff/Maskaure Mullholm avvanm, 39,6 ha georefererad karta.tif", "Maskaure Mullholm avvanm, 39,6 ha")</f>
        <v/>
      </c>
      <c r="AA16">
        <f>HYPERLINK("https://klasma.github.io/Logging_FORSKNINGSRESAN_2026_ARJEPLOG/klagomål/Maskaure Mullholm avvanm, 39,6 ha FSC-klagomål.docx", "Maskaure Mullholm avvanm, 39,6 ha")</f>
        <v/>
      </c>
      <c r="AB16">
        <f>HYPERLINK("https://klasma.github.io/Logging_FORSKNINGSRESAN_2026_ARJEPLOG/klagomålsmail/Maskaure Mullholm avvanm, 39,6 ha FSC-klagomål mail.docx", "Maskaure Mullholm avvanm, 39,6 ha")</f>
        <v/>
      </c>
      <c r="AC16">
        <f>HYPERLINK("https://klasma.github.io/Logging_FORSKNINGSRESAN_2026_ARJEPLOG/tillsyn/Maskaure Mullholm avvanm, 39,6 ha tillsynsbegäran.docx", "Maskaure Mullholm avvanm, 39,6 ha")</f>
        <v/>
      </c>
      <c r="AD16">
        <f>HYPERLINK("https://klasma.github.io/Logging_FORSKNINGSRESAN_2026_ARJEPLOG/tillsynsmail/Maskaure Mullholm avvanm, 39,6 ha tillsynsbegäran mail.docx", "Maskaure Mullholm avvanm, 39,6 ha")</f>
        <v/>
      </c>
      <c r="AE16">
        <f>HYPERLINK("https://klasma.github.io/Logging_FORSKNINGSRESAN_2026_ARJEPLOG/fåglar/Maskaure Mullholm avvanm, 39,6 ha prioriterade fågelarter.docx", "Maskaure Mullholm avvanm, 39,6 ha")</f>
        <v/>
      </c>
      <c r="AF16" t="inlineStr">
        <is>
          <t>avvanm på en ö, skjuts över med båt</t>
        </is>
      </c>
      <c r="AG16" t="n">
        <v>1</v>
      </c>
      <c r="AH16" t="inlineStr">
        <is>
          <t>Privat</t>
        </is>
      </c>
      <c r="AI16" t="inlineStr">
        <is>
          <t>Ons: Gr 2 (prio 1)</t>
        </is>
      </c>
      <c r="AJ16" t="inlineStr">
        <is>
          <t>A 34430-2025</t>
        </is>
      </c>
    </row>
    <row r="17" ht="15" customHeight="1">
      <c r="A17" t="inlineStr">
        <is>
          <t>Juvtábákte utvidgning S</t>
        </is>
      </c>
      <c r="B17" t="inlineStr">
        <is>
          <t>inventeringsområde</t>
        </is>
      </c>
      <c r="D17" s="1" t="n">
        <v>46223</v>
      </c>
      <c r="E17" s="1" t="n">
        <v>46226</v>
      </c>
      <c r="F17" t="inlineStr">
        <is>
          <t>Norrbottens län</t>
        </is>
      </c>
      <c r="G17" t="inlineStr">
        <is>
          <t>Arjeplog</t>
        </is>
      </c>
      <c r="H17" t="inlineStr">
        <is>
          <t>Övriga statliga verk och myndigheter</t>
        </is>
      </c>
      <c r="I17" t="n">
        <v>143</v>
      </c>
      <c r="J17" t="n">
        <v>9</v>
      </c>
      <c r="K17" t="n">
        <v>4</v>
      </c>
      <c r="L17" t="n">
        <v>9</v>
      </c>
      <c r="M17" t="n">
        <v>0</v>
      </c>
      <c r="N17" t="n">
        <v>0</v>
      </c>
      <c r="O17" t="n">
        <v>0</v>
      </c>
      <c r="P17" t="n">
        <v>0</v>
      </c>
      <c r="Q17" t="n">
        <v>9</v>
      </c>
      <c r="R17" t="n">
        <v>0</v>
      </c>
      <c r="S17" t="n">
        <v>17</v>
      </c>
      <c r="T17" t="n">
        <v>23</v>
      </c>
      <c r="U17" t="n">
        <v>1</v>
      </c>
      <c r="V17" s="2" t="inlineStr">
        <is>
          <t>Blå taggsvamp
Dropptaggsvamp
Lappmes
Lavskrika
Skarp dropptaggsvamp
Stickelfrö
Talltagel
Tretåig hackspett
Ullticka
Nordlig fjädermossa
Plattlummer
Spindelblomster
Ögonpyrola
Mattlummer
Brudsporre
Fläcknycklar
Revlummer</t>
        </is>
      </c>
      <c r="W17">
        <f>HYPERLINK("https://klasma.github.io/Logging_FORSKNINGSRESAN_2026_ARJEPLOG/artfynd/Juvtábákte utvidgning S artfynd.xlsx", "Juvtábákte utvidgning S")</f>
        <v/>
      </c>
      <c r="X17">
        <f>HYPERLINK("https://klasma.github.io/Logging_FORSKNINGSRESAN_2026_ARJEPLOG/kartor/Juvtábákte utvidgning S karta.png", "Juvtábákte utvidgning S")</f>
        <v/>
      </c>
      <c r="Y17">
        <f>HYPERLINK("https://klasma.github.io/Logging_FORSKNINGSRESAN_2026_ARJEPLOG/kartor_geotiff/Juvtábákte utvidgning S georefererad karta.tif", "Juvtábákte utvidgning S")</f>
        <v/>
      </c>
      <c r="AA17">
        <f>HYPERLINK("https://klasma.github.io/Logging_FORSKNINGSRESAN_2026_ARJEPLOG/klagomål/Juvtábákte utvidgning S FSC-klagomål.docx", "Juvtábákte utvidgning S")</f>
        <v/>
      </c>
      <c r="AB17">
        <f>HYPERLINK("https://klasma.github.io/Logging_FORSKNINGSRESAN_2026_ARJEPLOG/klagomålsmail/Juvtábákte utvidgning S FSC-klagomål mail.docx", "Juvtábákte utvidgning S")</f>
        <v/>
      </c>
      <c r="AC17">
        <f>HYPERLINK("https://klasma.github.io/Logging_FORSKNINGSRESAN_2026_ARJEPLOG/tillsyn/Juvtábákte utvidgning S tillsynsbegäran.docx", "Juvtábákte utvidgning S")</f>
        <v/>
      </c>
      <c r="AD17">
        <f>HYPERLINK("https://klasma.github.io/Logging_FORSKNINGSRESAN_2026_ARJEPLOG/tillsynsmail/Juvtábákte utvidgning S tillsynsbegäran mail.docx", "Juvtábákte utvidgning S")</f>
        <v/>
      </c>
      <c r="AE17">
        <f>HYPERLINK("https://klasma.github.io/Logging_FORSKNINGSRESAN_2026_ARJEPLOG/fåglar/Juvtábákte utvidgning S prioriterade fågelarter.docx", "Juvtábákte utvidgning S")</f>
        <v/>
      </c>
      <c r="AF17" t="inlineStr">
        <is>
          <t>Avskrevs på samr.möte 171116. Samr. m SFV gäller ej längre. Inv 2022 + branten på priv.m. Ö om. Viktigt för att få ner reservatet till allmän väg, vilket ökar tillgängligheten. Bytt namn 230314 till ...Silvervägen. /FF Bör ingå i planerat</t>
        </is>
      </c>
      <c r="AG17" t="n">
        <v>2</v>
      </c>
      <c r="AH17" t="inlineStr">
        <is>
          <t>Fastighetsverket</t>
        </is>
      </c>
      <c r="AI17" t="inlineStr">
        <is>
          <t>Tis: Gr 4</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2</v>
      </c>
      <c r="K18" t="n">
        <v>2</v>
      </c>
      <c r="L18" t="n">
        <v>12</v>
      </c>
      <c r="M18" t="n">
        <v>2</v>
      </c>
      <c r="N18" t="n">
        <v>0</v>
      </c>
      <c r="O18" t="n">
        <v>0</v>
      </c>
      <c r="P18" t="n">
        <v>0</v>
      </c>
      <c r="Q18" t="n">
        <v>14</v>
      </c>
      <c r="R18" t="n">
        <v>2</v>
      </c>
      <c r="S18" t="n">
        <v>16</v>
      </c>
      <c r="T18" t="n">
        <v>52</v>
      </c>
      <c r="U18" t="n">
        <v>37</v>
      </c>
      <c r="V18" s="2" t="inlineStr">
        <is>
          <t>Garnlav
Gränsticka
Blanksvart spiklav
Blågrå svartspik
Dvärgbägarlav
Gammelgransskål
Knottrig blåslav
Kolflarnlav
Kortskaftad ärgspik
Mörk kolflarnlav
Talltagel
Tretåig hackspett
Vedflamlav
Vedskivlav
Spindelblomster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4</v>
      </c>
      <c r="L19" t="n">
        <v>7</v>
      </c>
      <c r="M19" t="n">
        <v>5</v>
      </c>
      <c r="N19" t="n">
        <v>0</v>
      </c>
      <c r="O19" t="n">
        <v>0</v>
      </c>
      <c r="P19" t="n">
        <v>0</v>
      </c>
      <c r="Q19" t="n">
        <v>12</v>
      </c>
      <c r="R19" t="n">
        <v>5</v>
      </c>
      <c r="S19" t="n">
        <v>16</v>
      </c>
      <c r="T19" t="n">
        <v>18</v>
      </c>
      <c r="U19" t="n">
        <v>6</v>
      </c>
      <c r="V19" s="2" t="inlineStr">
        <is>
          <t>Garnlav
Grantickeporing
Gränsticka
Ostticka
Vitskaftad svartspik
Gammelgransskål
Harticka
Knottrig blåslav
Rosenticka
Rynkskinn
Ullticka
Violmussling
Blodticka
Stuplav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Bremudden avvanm</t>
        </is>
      </c>
      <c r="B20" t="inlineStr">
        <is>
          <t>inventeringsområde</t>
        </is>
      </c>
      <c r="D20" s="1" t="n">
        <v>46223</v>
      </c>
      <c r="E20" s="1" t="n">
        <v>46226</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HYPERLINK("https://klasma.github.io/Logging_FORSKNINGSRESAN_2026_ARJEPLOG/artfynd/Bremudden avvanm artfynd.xlsx", "Bremudden avvanm")</f>
        <v/>
      </c>
      <c r="X20">
        <f>HYPERLINK("https://klasma.github.io/Logging_FORSKNINGSRESAN_2026_ARJEPLOG/kartor/Bremudden avvanm karta.png", "Bremudden avvanm")</f>
        <v/>
      </c>
      <c r="Y20">
        <f>HYPERLINK("https://klasma.github.io/Logging_FORSKNINGSRESAN_2026_ARJEPLOG/kartor_geotiff/Bremudden avvanm georefererad karta.tif", "Bremudden avvanm")</f>
        <v/>
      </c>
      <c r="AA20">
        <f>HYPERLINK("https://klasma.github.io/Logging_FORSKNINGSRESAN_2026_ARJEPLOG/klagomål/Bremudden avvanm FSC-klagomål.docx", "Bremudden avvanm")</f>
        <v/>
      </c>
      <c r="AB20">
        <f>HYPERLINK("https://klasma.github.io/Logging_FORSKNINGSRESAN_2026_ARJEPLOG/klagomålsmail/Bremudden avvanm FSC-klagomål mail.docx", "Bremudden avvanm")</f>
        <v/>
      </c>
      <c r="AC20">
        <f>HYPERLINK("https://klasma.github.io/Logging_FORSKNINGSRESAN_2026_ARJEPLOG/tillsyn/Bremudden avvanm tillsynsbegäran.docx", "Bremudden avvanm")</f>
        <v/>
      </c>
      <c r="AD20">
        <f>HYPERLINK("https://klasma.github.io/Logging_FORSKNINGSRESAN_2026_ARJEPLOG/tillsynsmail/Bremudden avvanm tillsynsbegäran mail.docx", "Bremudden avvanm")</f>
        <v/>
      </c>
      <c r="AE20">
        <f>HYPERLINK("https://klasma.github.io/Logging_FORSKNINGSRESAN_2026_ARJEPLOG/fåglar/Bremudden avvanm prioriterade fågelarter.docx", "Bremudden avvanm")</f>
        <v/>
      </c>
      <c r="AF20" t="inlineStr">
        <is>
          <t>avvanm</t>
        </is>
      </c>
      <c r="AG20" t="n">
        <v/>
      </c>
      <c r="AH20" t="inlineStr">
        <is>
          <t>Privat</t>
        </is>
      </c>
      <c r="AI20" t="inlineStr">
        <is>
          <t>Tis: Gr 1 (prio 2)</t>
        </is>
      </c>
      <c r="AJ20" t="inlineStr">
        <is>
          <t>A 24892-2026</t>
        </is>
      </c>
    </row>
    <row r="21" ht="15" customHeight="1">
      <c r="A21" t="inlineStr">
        <is>
          <t>S om Kvarntjärnen</t>
        </is>
      </c>
      <c r="B21" t="inlineStr">
        <is>
          <t>inventeringsområde</t>
        </is>
      </c>
      <c r="D21" s="1" t="n">
        <v>46223</v>
      </c>
      <c r="E21" s="1" t="n">
        <v>46226</v>
      </c>
      <c r="F21" t="inlineStr">
        <is>
          <t>Norrbottens län</t>
        </is>
      </c>
      <c r="G21" t="inlineStr">
        <is>
          <t>Arjeplog</t>
        </is>
      </c>
      <c r="H21" t="inlineStr">
        <is>
          <t>Sveaskog</t>
        </is>
      </c>
      <c r="I21" t="n">
        <v>27.7</v>
      </c>
      <c r="J21" t="n">
        <v>4</v>
      </c>
      <c r="K21" t="n">
        <v>3</v>
      </c>
      <c r="L21" t="n">
        <v>9</v>
      </c>
      <c r="M21" t="n">
        <v>2</v>
      </c>
      <c r="N21" t="n">
        <v>1</v>
      </c>
      <c r="O21" t="n">
        <v>0</v>
      </c>
      <c r="P21" t="n">
        <v>0</v>
      </c>
      <c r="Q21" t="n">
        <v>12</v>
      </c>
      <c r="R21" t="n">
        <v>3</v>
      </c>
      <c r="S21" t="n">
        <v>15</v>
      </c>
      <c r="T21" t="n">
        <v>82</v>
      </c>
      <c r="U21" t="n">
        <v>82</v>
      </c>
      <c r="V21" s="2" t="inlineStr">
        <is>
          <t>Lusporing
Garnlav
Gräddporing
Blanksvart spiklav
Dropptaggsvamp
Dvärgbägarlav
Lavskrika
Nordtagging
Talltagel
Talltita
Tretåig hackspett
Vedskivlav
Norrlandslav
Plattlummer
Vedticka</t>
        </is>
      </c>
      <c r="W21">
        <f>HYPERLINK("https://klasma.github.io/Logging_FORSKNINGSRESAN_2026_ARJEPLOG/artfynd/S om Kvarntjärnen artfynd.xlsx", "S om Kvarntjärnen")</f>
        <v/>
      </c>
      <c r="X21">
        <f>HYPERLINK("https://klasma.github.io/Logging_FORSKNINGSRESAN_2026_ARJEPLOG/kartor/S om Kvarntjärnen karta.png", "S om Kvarntjärnen")</f>
        <v/>
      </c>
      <c r="Y21">
        <f>HYPERLINK("https://klasma.github.io/Logging_FORSKNINGSRESAN_2026_ARJEPLOG/kartor_geotiff/S om Kvarntjärnen georefererad karta.tif", "S om Kvarntjärnen")</f>
        <v/>
      </c>
      <c r="AA21">
        <f>HYPERLINK("https://klasma.github.io/Logging_FORSKNINGSRESAN_2026_ARJEPLOG/klagomål/S om Kvarntjärnen FSC-klagomål.docx", "S om Kvarntjärnen")</f>
        <v/>
      </c>
      <c r="AB21">
        <f>HYPERLINK("https://klasma.github.io/Logging_FORSKNINGSRESAN_2026_ARJEPLOG/klagomålsmail/S om Kvarntjärnen FSC-klagomål mail.docx", "S om Kvarntjärnen")</f>
        <v/>
      </c>
      <c r="AC21">
        <f>HYPERLINK("https://klasma.github.io/Logging_FORSKNINGSRESAN_2026_ARJEPLOG/tillsyn/S om Kvarntjärnen tillsynsbegäran.docx", "S om Kvarntjärnen")</f>
        <v/>
      </c>
      <c r="AD21">
        <f>HYPERLINK("https://klasma.github.io/Logging_FORSKNINGSRESAN_2026_ARJEPLOG/tillsynsmail/S om Kvarntjärnen tillsynsbegäran mail.docx", "S om Kvarntjärnen")</f>
        <v/>
      </c>
      <c r="AE21">
        <f>HYPERLINK("https://klasma.github.io/Logging_FORSKNINGSRESAN_2026_ARJEPLOG/fåglar/S om Kvarntjärnen prioriterade fågelarter.docx", "S om Kvarntjärnen")</f>
        <v/>
      </c>
      <c r="AF21" t="inlineStr">
        <is>
          <t>Ser bra ut från vägen, bom öppen.</t>
        </is>
      </c>
      <c r="AG21" t="n">
        <v>10</v>
      </c>
      <c r="AH21" t="inlineStr">
        <is>
          <t>Sveaskog</t>
        </is>
      </c>
      <c r="AI21" t="inlineStr">
        <is>
          <t>Tis: Gr 2 (prio 3)</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2026-07-23T16:33:10Z</dcterms:created>
  <dcterms:modified xmlns:dcterms="http://purl.org/dc/terms/" xmlns:xsi="http://www.w3.org/2001/XMLSchema-instance" xsi:type="dcterms:W3CDTF">2026-07-23T16:33:10Z</dcterms:modified>
</cp:coreProperties>
</file>