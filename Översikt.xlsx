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46227</v>
      </c>
      <c r="F2" t="inlineStr">
        <is>
          <t>Norrbottens län</t>
        </is>
      </c>
      <c r="G2" t="inlineStr">
        <is>
          <t>Arjeplog</t>
        </is>
      </c>
      <c r="I2" t="n">
        <v>111.8</v>
      </c>
      <c r="J2" t="n">
        <v>10</v>
      </c>
      <c r="K2" t="n">
        <v>13</v>
      </c>
      <c r="L2" t="n">
        <v>26</v>
      </c>
      <c r="M2" t="n">
        <v>13</v>
      </c>
      <c r="N2" t="n">
        <v>0</v>
      </c>
      <c r="O2" t="n">
        <v>0</v>
      </c>
      <c r="P2" t="n">
        <v>0</v>
      </c>
      <c r="Q2" t="n">
        <v>39</v>
      </c>
      <c r="R2" t="n">
        <v>13</v>
      </c>
      <c r="S2" t="n">
        <v>65</v>
      </c>
      <c r="T2" t="n">
        <v>357</v>
      </c>
      <c r="U2" t="n">
        <v>357</v>
      </c>
      <c r="V2" s="2" t="inlineStr">
        <is>
          <t>Garnlav
Grantickeporing
Grenlav
Gränsticka
Kilporing
Kristallticka
Lappticka
Lecidea subhumida
Nordlig parasitporing
Ostticka
Sprickporing
Tajgaskinn
Vitskaftad svartspik
Barrviolspindling
Blanksvart spiklav
Blågrå svartspik
Brunklöver
Doftskinn
Dvärgbägarlav
Gammelgransskål
Grå blåbärsfältmätare
Harticka
Knottrig blåslav
Lavskrika
Liten svartspik
Lunglav
Nordlig nållav
Rosenticka
Rostania pallida
Rynkskinn
Rödbrun blekspik
Skrovellav
Stjärntagging
Talltita
Tretåig hackspett
Ullticka
Vedflamlav
Vedskivlav
Vitgrynig nållav
Blodticka
Bårdlav
Grönkulla
Gulnål
Korallrot
Källpraktmossa
Luddlav
Rostfläck
Spindelblomster
Stuplav
Tibast
Vedticka
Ögonpyrola
Bergsslok
Brudborste
Ekbräken
Humleblomster
Kärrfibbla
Lundarv
Nordisk stormhatt
Ormbär
Spillkråka
Tjäder
Torta
Vanlig groda
Fläcknycklar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46227</v>
      </c>
      <c r="F3" t="inlineStr">
        <is>
          <t>Norrbottens län</t>
        </is>
      </c>
      <c r="G3" t="inlineStr">
        <is>
          <t>Arjeplog</t>
        </is>
      </c>
      <c r="H3" t="inlineStr">
        <is>
          <t>Övriga statliga verk och myndigheter</t>
        </is>
      </c>
      <c r="I3" t="n">
        <v>119.1</v>
      </c>
      <c r="J3" t="n">
        <v>13</v>
      </c>
      <c r="K3" t="n">
        <v>11</v>
      </c>
      <c r="L3" t="n">
        <v>18</v>
      </c>
      <c r="M3" t="n">
        <v>9</v>
      </c>
      <c r="N3" t="n">
        <v>0</v>
      </c>
      <c r="O3" t="n">
        <v>0</v>
      </c>
      <c r="P3" t="n">
        <v>0</v>
      </c>
      <c r="Q3" t="n">
        <v>27</v>
      </c>
      <c r="R3" t="n">
        <v>9</v>
      </c>
      <c r="S3" t="n">
        <v>51</v>
      </c>
      <c r="T3" t="n">
        <v>372</v>
      </c>
      <c r="U3" t="n">
        <v>336</v>
      </c>
      <c r="V3" s="2" t="inlineStr">
        <is>
          <t>Garnlav
Grantickeporing
Gränsticka
Knärot
Lappticka
Laxgröppa
Ostticka
Sprickporing
Vitskaftad svartspik
Blanksvart spiklav
Doftskinn
Gammelgransskål
Harticka
Knottrig blåslav
Lavskrika
Liten svartspik
Lunglav
Nordlig nållav
Rosenticka
Rödbrun blekspik
Skrovellav
Talltagel
Talltita
Tretåig hackspett
Ullticka
Vitgrynig nållav
Älg
Blodticka
Bårdlav
Grönkulla
Luddlav
Plattlummer
Spindelblomster
Stuplav
Tibast
Trådticka
Vedticka
Ögonpyrola
Bergsslok
Ekbräken
Fjällskära
Järpe
Kransmossa
Kärrviol
Linnea
Nordisk stormhatt
Spillkråka
Tjäder
Orre
Brudsporre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Muorkenåive-Ássjátj S</t>
        </is>
      </c>
      <c r="B4" t="inlineStr">
        <is>
          <t>inventeringsområde</t>
        </is>
      </c>
      <c r="D4" s="1" t="n">
        <v>46223</v>
      </c>
      <c r="E4" s="1" t="n">
        <v>46227</v>
      </c>
      <c r="F4" t="inlineStr">
        <is>
          <t>Norrbottens län</t>
        </is>
      </c>
      <c r="G4" t="inlineStr">
        <is>
          <t>Arjeplog</t>
        </is>
      </c>
      <c r="I4" t="n">
        <v>113.6</v>
      </c>
      <c r="J4" t="n">
        <v>8</v>
      </c>
      <c r="K4" t="n">
        <v>14</v>
      </c>
      <c r="L4" t="n">
        <v>19</v>
      </c>
      <c r="M4" t="n">
        <v>8</v>
      </c>
      <c r="N4" t="n">
        <v>0</v>
      </c>
      <c r="O4" t="n">
        <v>0</v>
      </c>
      <c r="P4" t="n">
        <v>0</v>
      </c>
      <c r="Q4" t="n">
        <v>27</v>
      </c>
      <c r="R4" t="n">
        <v>8</v>
      </c>
      <c r="S4" t="n">
        <v>51</v>
      </c>
      <c r="T4" t="n">
        <v>303</v>
      </c>
      <c r="U4" t="n">
        <v>291</v>
      </c>
      <c r="V4" s="2" t="inlineStr">
        <is>
          <t>Bågknotterskinn
Garnlav
Grantickeporing
Gräddporing
Gränsticka
Ostticka
Tajgaskinn
Vitskaftad svartspik
Brunpudrad nållav
Gammelgransskål
Harticka
Knottrig blåslav
Koralltaggsvamp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Fläcknycklar
Myggblomster
Revlummer</t>
        </is>
      </c>
      <c r="W4">
        <f>HYPERLINK("https://klasma.github.io/Logging_FORSKNINGSRESAN_2026_ARJEPLOG/artfynd/Muorkenåive-Ássjátj S artfynd.xlsx", "Muorkenåive-Ássjátj S")</f>
        <v/>
      </c>
      <c r="X4">
        <f>HYPERLINK("https://klasma.github.io/Logging_FORSKNINGSRESAN_2026_ARJEPLOG/kartor/Muorkenåive-Ássjátj S karta.png", "Muorkenåive-Ássjátj S")</f>
        <v/>
      </c>
      <c r="Y4">
        <f>HYPERLINK("https://klasma.github.io/Logging_FORSKNINGSRESAN_2026_ARJEPLOG/kartor_geotiff/Muorkenåive-Ássjátj S georefererad karta.tif", "Muorkenåive-Ássjátj S")</f>
        <v/>
      </c>
      <c r="AA4">
        <f>HYPERLINK("https://klasma.github.io/Logging_FORSKNINGSRESAN_2026_ARJEPLOG/klagomål/Muorkenåive-Ássjátj S FSC-klagomål.docx", "Muorkenåive-Ássjátj S")</f>
        <v/>
      </c>
      <c r="AB4">
        <f>HYPERLINK("https://klasma.github.io/Logging_FORSKNINGSRESAN_2026_ARJEPLOG/klagomålsmail/Muorkenåive-Ássjátj S FSC-klagomål mail.docx", "Muorkenåive-Ássjátj S")</f>
        <v/>
      </c>
      <c r="AC4">
        <f>HYPERLINK("https://klasma.github.io/Logging_FORSKNINGSRESAN_2026_ARJEPLOG/tillsyn/Muorkenåive-Ássjátj S tillsynsbegäran.docx", "Muorkenåive-Ássjátj S")</f>
        <v/>
      </c>
      <c r="AD4">
        <f>HYPERLINK("https://klasma.github.io/Logging_FORSKNINGSRESAN_2026_ARJEPLOG/tillsynsmail/Muorkenåive-Ássjátj S tillsynsbegäran mail.docx", "Muorkenåive-Ássjátj S")</f>
        <v/>
      </c>
      <c r="AE4">
        <f>HYPERLINK("https://klasma.github.io/Logging_FORSKNINGSRESAN_2026_ARJEPLOG/fåglar/Muorkenåive-Ássjátj S prioriterade fågelarter.docx", "Muorkenåive-Ássjátj S")</f>
        <v/>
      </c>
      <c r="AF4" t="inlineStr">
        <is>
          <t>Slagit samman Muorkenåive-privat med Assjatj-privat (lilla) till ett objekt efter fältgenomgång. /FF Behöver inte finkamma, men bra att få in några fynd. kommer avvanm hela tiden.</t>
        </is>
      </c>
      <c r="AG4" t="n">
        <v>1</v>
      </c>
      <c r="AH4" t="inlineStr">
        <is>
          <t>Privat</t>
        </is>
      </c>
      <c r="AI4" t="inlineStr">
        <is>
          <t>Dag Gran: Gr 3</t>
        </is>
      </c>
      <c r="AJ4" t="n">
        <v/>
      </c>
    </row>
    <row r="5" ht="15" customHeight="1">
      <c r="A5" t="inlineStr">
        <is>
          <t>Gålggåmisvárre</t>
        </is>
      </c>
      <c r="B5" t="inlineStr">
        <is>
          <t>inventeringsområde</t>
        </is>
      </c>
      <c r="D5" s="1" t="n">
        <v>46223</v>
      </c>
      <c r="E5" s="1" t="n">
        <v>46227</v>
      </c>
      <c r="F5" t="inlineStr">
        <is>
          <t>Norrbottens län</t>
        </is>
      </c>
      <c r="G5" t="inlineStr">
        <is>
          <t>Arjeplog</t>
        </is>
      </c>
      <c r="H5" t="inlineStr">
        <is>
          <t>Sveaskog</t>
        </is>
      </c>
      <c r="I5" t="n">
        <v>40.1</v>
      </c>
      <c r="J5" t="n">
        <v>9</v>
      </c>
      <c r="K5" t="n">
        <v>11</v>
      </c>
      <c r="L5" t="n">
        <v>21</v>
      </c>
      <c r="M5" t="n">
        <v>6</v>
      </c>
      <c r="N5" t="n">
        <v>0</v>
      </c>
      <c r="O5" t="n">
        <v>0</v>
      </c>
      <c r="P5" t="n">
        <v>0</v>
      </c>
      <c r="Q5" t="n">
        <v>27</v>
      </c>
      <c r="R5" t="n">
        <v>6</v>
      </c>
      <c r="S5" t="n">
        <v>44</v>
      </c>
      <c r="T5" t="n">
        <v>296</v>
      </c>
      <c r="U5" t="n">
        <v>252</v>
      </c>
      <c r="V5"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5">
        <f>HYPERLINK("https://klasma.github.io/Logging_FORSKNINGSRESAN_2026_ARJEPLOG/artfynd/Gålggåmisvárre artfynd.xlsx", "Gålggåmisvárre")</f>
        <v/>
      </c>
      <c r="X5">
        <f>HYPERLINK("https://klasma.github.io/Logging_FORSKNINGSRESAN_2026_ARJEPLOG/kartor/Gålggåmisvárre karta.png", "Gålggåmisvárre")</f>
        <v/>
      </c>
      <c r="Y5">
        <f>HYPERLINK("https://klasma.github.io/Logging_FORSKNINGSRESAN_2026_ARJEPLOG/kartor_geotiff/Gålggåmisvárre georefererad karta.tif", "Gålggåmisvárre")</f>
        <v/>
      </c>
      <c r="AA5">
        <f>HYPERLINK("https://klasma.github.io/Logging_FORSKNINGSRESAN_2026_ARJEPLOG/klagomål/Gålggåmisvárre FSC-klagomål.docx", "Gålggåmisvárre")</f>
        <v/>
      </c>
      <c r="AB5">
        <f>HYPERLINK("https://klasma.github.io/Logging_FORSKNINGSRESAN_2026_ARJEPLOG/klagomålsmail/Gålggåmisvárre FSC-klagomål mail.docx", "Gålggåmisvárre")</f>
        <v/>
      </c>
      <c r="AC5">
        <f>HYPERLINK("https://klasma.github.io/Logging_FORSKNINGSRESAN_2026_ARJEPLOG/tillsyn/Gålggåmisvárre tillsynsbegäran.docx", "Gålggåmisvárre")</f>
        <v/>
      </c>
      <c r="AD5">
        <f>HYPERLINK("https://klasma.github.io/Logging_FORSKNINGSRESAN_2026_ARJEPLOG/tillsynsmail/Gålggåmisvárre tillsynsbegäran mail.docx", "Gålggåmisvárre")</f>
        <v/>
      </c>
      <c r="AE5">
        <f>HYPERLINK("https://klasma.github.io/Logging_FORSKNINGSRESAN_2026_ARJEPLOG/fåglar/Gålggåmisvárre prioriterade fågelarter.docx", "Gålggåmisvárre")</f>
        <v/>
      </c>
      <c r="AF5" t="inlineStr">
        <is>
          <t>delvis inventerad, Naturskyddsföreningen skickat in FSC-klagomål 2024, avvanm tbkdragen</t>
        </is>
      </c>
      <c r="AG5" t="n">
        <v>2</v>
      </c>
      <c r="AH5" t="inlineStr">
        <is>
          <t>?</t>
        </is>
      </c>
      <c r="AI5" t="inlineStr">
        <is>
          <t>Tis: Gr 1 (prio1 )</t>
        </is>
      </c>
      <c r="AJ5" t="n">
        <v/>
      </c>
    </row>
    <row r="6" ht="15" customHeight="1">
      <c r="A6" t="inlineStr">
        <is>
          <t>Saravallen avvanm</t>
        </is>
      </c>
      <c r="B6" t="inlineStr">
        <is>
          <t>inventeringsområde</t>
        </is>
      </c>
      <c r="D6" s="1" t="n">
        <v>46223</v>
      </c>
      <c r="E6" s="1" t="n">
        <v>46227</v>
      </c>
      <c r="F6" t="inlineStr">
        <is>
          <t>Norrbottens län</t>
        </is>
      </c>
      <c r="G6" t="inlineStr">
        <is>
          <t>Arjeplog</t>
        </is>
      </c>
      <c r="H6" t="inlineStr">
        <is>
          <t>Allmännings- och besparingsskogar</t>
        </is>
      </c>
      <c r="I6" t="n">
        <v>70.40000000000001</v>
      </c>
      <c r="J6" t="n">
        <v>8</v>
      </c>
      <c r="K6" t="n">
        <v>10</v>
      </c>
      <c r="L6" t="n">
        <v>25</v>
      </c>
      <c r="M6" t="n">
        <v>6</v>
      </c>
      <c r="N6" t="n">
        <v>0</v>
      </c>
      <c r="O6" t="n">
        <v>0</v>
      </c>
      <c r="P6" t="n">
        <v>0</v>
      </c>
      <c r="Q6" t="n">
        <v>31</v>
      </c>
      <c r="R6" t="n">
        <v>6</v>
      </c>
      <c r="S6" t="n">
        <v>43</v>
      </c>
      <c r="T6" t="n">
        <v>306</v>
      </c>
      <c r="U6" t="n">
        <v>306</v>
      </c>
      <c r="V6" s="2" t="inlineStr">
        <is>
          <t>Fläckporing
Garnlav
Gräddporing
Knärot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Maskaure Maddagielas N, 68,3 ha</t>
        </is>
      </c>
      <c r="B7" t="inlineStr">
        <is>
          <t>inventeringsområde</t>
        </is>
      </c>
      <c r="D7" s="1" t="n">
        <v>46223</v>
      </c>
      <c r="E7" s="1" t="n">
        <v>46227</v>
      </c>
      <c r="F7" t="inlineStr">
        <is>
          <t>Norrbottens län</t>
        </is>
      </c>
      <c r="G7" t="inlineStr">
        <is>
          <t>Arjeplog</t>
        </is>
      </c>
      <c r="H7" t="inlineStr">
        <is>
          <t>Sveaskog</t>
        </is>
      </c>
      <c r="I7" t="n">
        <v>68.2</v>
      </c>
      <c r="J7" t="n">
        <v>11</v>
      </c>
      <c r="K7" t="n">
        <v>11</v>
      </c>
      <c r="L7" t="n">
        <v>20</v>
      </c>
      <c r="M7" t="n">
        <v>5</v>
      </c>
      <c r="N7" t="n">
        <v>0</v>
      </c>
      <c r="O7" t="n">
        <v>0</v>
      </c>
      <c r="P7" t="n">
        <v>0</v>
      </c>
      <c r="Q7" t="n">
        <v>25</v>
      </c>
      <c r="R7" t="n">
        <v>5</v>
      </c>
      <c r="S7" t="n">
        <v>42</v>
      </c>
      <c r="T7" t="n">
        <v>192</v>
      </c>
      <c r="U7" t="n">
        <v>189</v>
      </c>
      <c r="V7"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Kornknutmossa
Luddlav
Norrlandslav
Plattlummer
Spindelblomster
Stuplav
Vedticka
Ögonpyrola
Spillkråka
Timmerticka
Tjäder
Vanlig groda
Fläcknycklar
Revlummer</t>
        </is>
      </c>
      <c r="W7">
        <f>HYPERLINK("https://klasma.github.io/Logging_FORSKNINGSRESAN_2026_ARJEPLOG/artfynd/Maskaure Maddagielas N, 68,3 ha artfynd.xlsx", "Maskaure Maddagielas N, 68,3 ha")</f>
        <v/>
      </c>
      <c r="X7">
        <f>HYPERLINK("https://klasma.github.io/Logging_FORSKNINGSRESAN_2026_ARJEPLOG/kartor/Maskaure Maddagielas N, 68,3 ha karta.png", "Maskaure Maddagielas N, 68,3 ha")</f>
        <v/>
      </c>
      <c r="Y7">
        <f>HYPERLINK("https://klasma.github.io/Logging_FORSKNINGSRESAN_2026_ARJEPLOG/kartor_geotiff/Maskaure Maddagielas N, 68,3 ha georefererad karta.tif", "Maskaure Maddagielas N, 68,3 ha")</f>
        <v/>
      </c>
      <c r="AA7">
        <f>HYPERLINK("https://klasma.github.io/Logging_FORSKNINGSRESAN_2026_ARJEPLOG/klagomål/Maskaure Maddagielas N, 68,3 ha FSC-klagomål.docx", "Maskaure Maddagielas N, 68,3 ha")</f>
        <v/>
      </c>
      <c r="AB7">
        <f>HYPERLINK("https://klasma.github.io/Logging_FORSKNINGSRESAN_2026_ARJEPLOG/klagomålsmail/Maskaure Maddagielas N, 68,3 ha FSC-klagomål mail.docx", "Maskaure Maddagielas N, 68,3 ha")</f>
        <v/>
      </c>
      <c r="AC7">
        <f>HYPERLINK("https://klasma.github.io/Logging_FORSKNINGSRESAN_2026_ARJEPLOG/tillsyn/Maskaure Maddagielas N, 68,3 ha tillsynsbegäran.docx", "Maskaure Maddagielas N, 68,3 ha")</f>
        <v/>
      </c>
      <c r="AD7">
        <f>HYPERLINK("https://klasma.github.io/Logging_FORSKNINGSRESAN_2026_ARJEPLOG/tillsynsmail/Maskaure Maddagielas N, 68,3 ha tillsynsbegäran mail.docx", "Maskaure Maddagielas N, 68,3 ha")</f>
        <v/>
      </c>
      <c r="AE7">
        <f>HYPERLINK("https://klasma.github.io/Logging_FORSKNINGSRESAN_2026_ARJEPLOG/fåglar/Maskaure Maddagielas N, 68,3 ha prioriterade fågelarter.docx", "Maskaure Maddagielas N, 68,3 ha")</f>
        <v/>
      </c>
      <c r="AF7" t="inlineStr">
        <is>
          <t>k-skog, tre samplaneringsomr inom ytan, frivilliga avsättningar inom ytan</t>
        </is>
      </c>
      <c r="AG7" t="n">
        <v>1</v>
      </c>
      <c r="AH7" t="inlineStr">
        <is>
          <t>Sveaskog</t>
        </is>
      </c>
      <c r="AI7" t="inlineStr">
        <is>
          <t>Ons: Gr 4</t>
        </is>
      </c>
      <c r="AJ7" t="n">
        <v/>
      </c>
    </row>
    <row r="8" ht="15" customHeight="1">
      <c r="A8" t="inlineStr">
        <is>
          <t>Maskaure Siebdniesjávrrie-Lillberget, 122 ha</t>
        </is>
      </c>
      <c r="B8" t="inlineStr">
        <is>
          <t>inventeringsområde</t>
        </is>
      </c>
      <c r="D8" s="1" t="n">
        <v>46223</v>
      </c>
      <c r="E8" s="1" t="n">
        <v>46227</v>
      </c>
      <c r="F8" t="inlineStr">
        <is>
          <t>Norrbottens län</t>
        </is>
      </c>
      <c r="G8" t="inlineStr">
        <is>
          <t>Arjeplog</t>
        </is>
      </c>
      <c r="H8" t="inlineStr">
        <is>
          <t>Sveaskog</t>
        </is>
      </c>
      <c r="I8" t="n">
        <v>122.1</v>
      </c>
      <c r="J8" t="n">
        <v>8</v>
      </c>
      <c r="K8" t="n">
        <v>7</v>
      </c>
      <c r="L8" t="n">
        <v>20</v>
      </c>
      <c r="M8" t="n">
        <v>5</v>
      </c>
      <c r="N8" t="n">
        <v>0</v>
      </c>
      <c r="O8" t="n">
        <v>0</v>
      </c>
      <c r="P8" t="n">
        <v>0</v>
      </c>
      <c r="Q8" t="n">
        <v>25</v>
      </c>
      <c r="R8" t="n">
        <v>5</v>
      </c>
      <c r="S8" t="n">
        <v>37</v>
      </c>
      <c r="T8" t="n">
        <v>157</v>
      </c>
      <c r="U8" t="n">
        <v>96</v>
      </c>
      <c r="V8" s="2" t="inlineStr">
        <is>
          <t>Fläckporing
Garnlav
Grantickeporing
Nordlig parasitporing
Ostticka
Blanksvart spiklav
Doftskinn
Dvärgbägarlav
Gammelgransskål
Knottrig blåslav
Kolflarnlav
Lavskrika
Liten svartspik
Nordtagging
Rosenticka
Rynkskinn
Skogshare
Stjärntagging
Talltagel
Talltita
Tretåig hackspett
Ullticka
Vedskivlav
Vitgrynig nållav
Äggvaxskivling
Blodticka
Bollvitmossa
Bårdlav
Norrlandslav
Spindelblomster
Stuplav
Vågbandad barkbock
Tjäder
Ängskovall
Orre
Fläcknycklar
Revlummer</t>
        </is>
      </c>
      <c r="W8">
        <f>HYPERLINK("https://klasma.github.io/Logging_FORSKNINGSRESAN_2026_ARJEPLOG/artfynd/Maskaure Siebdniesjávrrie-Lillberget, 122 ha artfynd.xlsx", "Maskaure Siebdniesjávrrie-Lillberget, 122 ha")</f>
        <v/>
      </c>
      <c r="X8">
        <f>HYPERLINK("https://klasma.github.io/Logging_FORSKNINGSRESAN_2026_ARJEPLOG/kartor/Maskaure Siebdniesjávrrie-Lillberget, 122 ha karta.png", "Maskaure Siebdniesjávrrie-Lillberget, 122 ha")</f>
        <v/>
      </c>
      <c r="Y8">
        <f>HYPERLINK("https://klasma.github.io/Logging_FORSKNINGSRESAN_2026_ARJEPLOG/kartor_geotiff/Maskaure Siebdniesjávrrie-Lillberget, 122 ha georefererad karta.tif", "Maskaure Siebdniesjávrrie-Lillberget, 122 ha")</f>
        <v/>
      </c>
      <c r="AA8">
        <f>HYPERLINK("https://klasma.github.io/Logging_FORSKNINGSRESAN_2026_ARJEPLOG/klagomål/Maskaure Siebdniesjávrrie-Lillberget, 122 ha FSC-klagomål.docx", "Maskaure Siebdniesjávrrie-Lillberget, 122 ha")</f>
        <v/>
      </c>
      <c r="AB8">
        <f>HYPERLINK("https://klasma.github.io/Logging_FORSKNINGSRESAN_2026_ARJEPLOG/klagomålsmail/Maskaure Siebdniesjávrrie-Lillberget, 122 ha FSC-klagomål mail.docx", "Maskaure Siebdniesjávrrie-Lillberget, 122 ha")</f>
        <v/>
      </c>
      <c r="AC8">
        <f>HYPERLINK("https://klasma.github.io/Logging_FORSKNINGSRESAN_2026_ARJEPLOG/tillsyn/Maskaure Siebdniesjávrrie-Lillberget, 122 ha tillsynsbegäran.docx", "Maskaure Siebdniesjávrrie-Lillberget, 122 ha")</f>
        <v/>
      </c>
      <c r="AD8">
        <f>HYPERLINK("https://klasma.github.io/Logging_FORSKNINGSRESAN_2026_ARJEPLOG/tillsynsmail/Maskaure Siebdniesjávrrie-Lillberget, 122 ha tillsynsbegäran mail.docx", "Maskaure Siebdniesjávrrie-Lillberget, 122 ha")</f>
        <v/>
      </c>
      <c r="AE8">
        <f>HYPERLINK("https://klasma.github.io/Logging_FORSKNINGSRESAN_2026_ARJEPLOG/fåglar/Maskaure Siebdniesjávrrie-Lillberget, 122 ha prioriterade fågelarter.docx", "Maskaure Siebdniesjávrrie-Lillberget, 122 ha")</f>
        <v/>
      </c>
      <c r="AF8" t="inlineStr">
        <is>
          <t>Gran. Samplaneringsomr finns inom omr</t>
        </is>
      </c>
      <c r="AG8" t="n">
        <v>1</v>
      </c>
      <c r="AH8" t="inlineStr">
        <is>
          <t>Sveaskog</t>
        </is>
      </c>
      <c r="AI8" t="inlineStr">
        <is>
          <t>Ons: Gr 1</t>
        </is>
      </c>
      <c r="AJ8" t="n">
        <v/>
      </c>
    </row>
    <row r="9" ht="15" customHeight="1">
      <c r="A9" t="inlineStr">
        <is>
          <t>Svanvik SO avvanm</t>
        </is>
      </c>
      <c r="B9" t="inlineStr">
        <is>
          <t>inventeringsområde</t>
        </is>
      </c>
      <c r="D9" s="1" t="n">
        <v>46223</v>
      </c>
      <c r="E9" s="1" t="n">
        <v>46227</v>
      </c>
      <c r="F9" t="inlineStr">
        <is>
          <t>Norrbottens län</t>
        </is>
      </c>
      <c r="G9" t="inlineStr">
        <is>
          <t>Arjeplog</t>
        </is>
      </c>
      <c r="I9" t="n">
        <v>12.9</v>
      </c>
      <c r="J9" t="n">
        <v>7</v>
      </c>
      <c r="K9" t="n">
        <v>11</v>
      </c>
      <c r="L9" t="n">
        <v>15</v>
      </c>
      <c r="M9" t="n">
        <v>8</v>
      </c>
      <c r="N9" t="n">
        <v>0</v>
      </c>
      <c r="O9" t="n">
        <v>0</v>
      </c>
      <c r="P9" t="n">
        <v>0</v>
      </c>
      <c r="Q9" t="n">
        <v>23</v>
      </c>
      <c r="R9" t="n">
        <v>8</v>
      </c>
      <c r="S9" t="n">
        <v>35</v>
      </c>
      <c r="T9" t="n">
        <v>234</v>
      </c>
      <c r="U9" t="n">
        <v>234</v>
      </c>
      <c r="V9" s="2" t="inlineStr">
        <is>
          <t>Doftticka
Fläckporing
Garnlav
Gränsticka
Knärot
Lappticka
Ostticka
Tajgaskinn
Blanksvart spiklav
Doftskinn
Gammelgransskål
Harticka
Knottrig blåslav
Lavskrika
Rosenticka
Rödbrun blekspik
Skrovellav
Talltita
Tretåig hackspett
Ullticka
Vedflamlav
Vedtrappmossa
Vitgrynig nållav
Bronshjon
Bårdlav
Källmossor
Luddlav
Plattlummer
Skör kvastmossa
Spindelblomster
Stuplav
Vedticka
Vågbandad barkbock
Ögonpyrola
Bergsslok</t>
        </is>
      </c>
      <c r="W9">
        <f>HYPERLINK("https://klasma.github.io/Logging_FORSKNINGSRESAN_2026_ARJEPLOG/artfynd/Svanvik SO avvanm artfynd.xlsx", "Svanvik SO avvanm")</f>
        <v/>
      </c>
      <c r="X9">
        <f>HYPERLINK("https://klasma.github.io/Logging_FORSKNINGSRESAN_2026_ARJEPLOG/kartor/Svanvik SO avvanm karta.png", "Svanvik SO avvanm")</f>
        <v/>
      </c>
      <c r="Y9">
        <f>HYPERLINK("https://klasma.github.io/Logging_FORSKNINGSRESAN_2026_ARJEPLOG/kartor_geotiff/Svanvik SO avvanm georefererad karta.tif", "Svanvik SO avvanm")</f>
        <v/>
      </c>
      <c r="Z9">
        <f>HYPERLINK("https://klasma.github.io/Logging_FORSKNINGSRESAN_2026_ARJEPLOG/knärot/Svanvik SO avvanm karta knärot.png", "Svanvik SO avvanm")</f>
        <v/>
      </c>
      <c r="AA9">
        <f>HYPERLINK("https://klasma.github.io/Logging_FORSKNINGSRESAN_2026_ARJEPLOG/klagomål/Svanvik SO avvanm FSC-klagomål.docx", "Svanvik SO avvanm")</f>
        <v/>
      </c>
      <c r="AB9">
        <f>HYPERLINK("https://klasma.github.io/Logging_FORSKNINGSRESAN_2026_ARJEPLOG/klagomålsmail/Svanvik SO avvanm FSC-klagomål mail.docx", "Svanvik SO avvanm")</f>
        <v/>
      </c>
      <c r="AC9">
        <f>HYPERLINK("https://klasma.github.io/Logging_FORSKNINGSRESAN_2026_ARJEPLOG/tillsyn/Svanvik SO avvanm tillsynsbegäran.docx", "Svanvik SO avvanm")</f>
        <v/>
      </c>
      <c r="AD9">
        <f>HYPERLINK("https://klasma.github.io/Logging_FORSKNINGSRESAN_2026_ARJEPLOG/tillsynsmail/Svanvik SO avvanm tillsynsbegäran mail.docx", "Svanvik SO avvanm")</f>
        <v/>
      </c>
      <c r="AE9">
        <f>HYPERLINK("https://klasma.github.io/Logging_FORSKNINGSRESAN_2026_ARJEPLOG/fåglar/Svanvik SO avvanm prioriterade fågelarter.docx", "Svanvik SO avvanm")</f>
        <v/>
      </c>
      <c r="AF9" t="inlineStr">
        <is>
          <t>Grannaturskog</t>
        </is>
      </c>
      <c r="AG9" t="n">
        <v>1</v>
      </c>
      <c r="AH9" t="inlineStr">
        <is>
          <t>Privat</t>
        </is>
      </c>
      <c r="AI9" t="inlineStr">
        <is>
          <t>Dag Gran: Gr 1 (prio 1)</t>
        </is>
      </c>
      <c r="AJ9" t="n">
        <v/>
      </c>
    </row>
    <row r="10" ht="15" customHeight="1">
      <c r="A10" t="inlineStr">
        <is>
          <t>Maskaure Skornjamyran avvanm, 11,2 ha</t>
        </is>
      </c>
      <c r="B10" t="inlineStr">
        <is>
          <t>inventeringsområde</t>
        </is>
      </c>
      <c r="D10" s="1" t="n">
        <v>46223</v>
      </c>
      <c r="E10" s="1" t="n">
        <v>46227</v>
      </c>
      <c r="F10" t="inlineStr">
        <is>
          <t>Norrbottens län</t>
        </is>
      </c>
      <c r="G10" t="inlineStr">
        <is>
          <t>Arjeplog</t>
        </is>
      </c>
      <c r="I10" t="n">
        <v>11.2</v>
      </c>
      <c r="J10" t="n">
        <v>4</v>
      </c>
      <c r="K10" t="n">
        <v>6</v>
      </c>
      <c r="L10" t="n">
        <v>18</v>
      </c>
      <c r="M10" t="n">
        <v>8</v>
      </c>
      <c r="N10" t="n">
        <v>0</v>
      </c>
      <c r="O10" t="n">
        <v>0</v>
      </c>
      <c r="P10" t="n">
        <v>0</v>
      </c>
      <c r="Q10" t="n">
        <v>26</v>
      </c>
      <c r="R10" t="n">
        <v>8</v>
      </c>
      <c r="S10" t="n">
        <v>33</v>
      </c>
      <c r="T10" t="n">
        <v>133</v>
      </c>
      <c r="U10" t="n">
        <v>133</v>
      </c>
      <c r="V10"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0">
        <f>HYPERLINK("https://klasma.github.io/Logging_FORSKNINGSRESAN_2026_ARJEPLOG/artfynd/Maskaure Skornjamyran avvanm, 11,2 ha artfynd.xlsx", "Maskaure Skornjamyran avvanm, 11,2 ha")</f>
        <v/>
      </c>
      <c r="X10">
        <f>HYPERLINK("https://klasma.github.io/Logging_FORSKNINGSRESAN_2026_ARJEPLOG/kartor/Maskaure Skornjamyran avvanm, 11,2 ha karta.png", "Maskaure Skornjamyran avvanm, 11,2 ha")</f>
        <v/>
      </c>
      <c r="Y10">
        <f>HYPERLINK("https://klasma.github.io/Logging_FORSKNINGSRESAN_2026_ARJEPLOG/kartor_geotiff/Maskaure Skornjamyran avvanm, 11,2 ha georefererad karta.tif", "Maskaure Skornjamyran avvanm, 11,2 ha")</f>
        <v/>
      </c>
      <c r="AA10">
        <f>HYPERLINK("https://klasma.github.io/Logging_FORSKNINGSRESAN_2026_ARJEPLOG/klagomål/Maskaure Skornjamyran avvanm, 11,2 ha FSC-klagomål.docx", "Maskaure Skornjamyran avvanm, 11,2 ha")</f>
        <v/>
      </c>
      <c r="AB10">
        <f>HYPERLINK("https://klasma.github.io/Logging_FORSKNINGSRESAN_2026_ARJEPLOG/klagomålsmail/Maskaure Skornjamyran avvanm, 11,2 ha FSC-klagomål mail.docx", "Maskaure Skornjamyran avvanm, 11,2 ha")</f>
        <v/>
      </c>
      <c r="AC10">
        <f>HYPERLINK("https://klasma.github.io/Logging_FORSKNINGSRESAN_2026_ARJEPLOG/tillsyn/Maskaure Skornjamyran avvanm, 11,2 ha tillsynsbegäran.docx", "Maskaure Skornjamyran avvanm, 11,2 ha")</f>
        <v/>
      </c>
      <c r="AD10">
        <f>HYPERLINK("https://klasma.github.io/Logging_FORSKNINGSRESAN_2026_ARJEPLOG/tillsynsmail/Maskaure Skornjamyran avvanm, 11,2 ha tillsynsbegäran mail.docx", "Maskaure Skornjamyran avvanm, 11,2 ha")</f>
        <v/>
      </c>
      <c r="AE10">
        <f>HYPERLINK("https://klasma.github.io/Logging_FORSKNINGSRESAN_2026_ARJEPLOG/fåglar/Maskaure Skornjamyran avvanm, 11,2 ha prioriterade fågelarter.docx", "Maskaure Skornjamyran avvanm, 11,2 ha")</f>
        <v/>
      </c>
      <c r="AF10" t="inlineStr">
        <is>
          <t>mest gran, nyckelbiotop, avvanm</t>
        </is>
      </c>
      <c r="AG10" t="n">
        <v>1</v>
      </c>
      <c r="AH10" t="inlineStr">
        <is>
          <t>Privat</t>
        </is>
      </c>
      <c r="AI10" t="inlineStr">
        <is>
          <t>Ons: Gr 3</t>
        </is>
      </c>
      <c r="AJ10" t="inlineStr">
        <is>
          <t>A 45924-2023</t>
        </is>
      </c>
    </row>
    <row r="11" ht="15" customHeight="1">
      <c r="A11" t="inlineStr">
        <is>
          <t>Maskaure Tsågávrrie avvanm, 17,8 ha</t>
        </is>
      </c>
      <c r="B11" t="inlineStr">
        <is>
          <t>inventeringsområde</t>
        </is>
      </c>
      <c r="D11" s="1" t="n">
        <v>46223</v>
      </c>
      <c r="E11" s="1" t="n">
        <v>46227</v>
      </c>
      <c r="F11" t="inlineStr">
        <is>
          <t>Norrbottens län</t>
        </is>
      </c>
      <c r="G11" t="inlineStr">
        <is>
          <t>Arjeplog</t>
        </is>
      </c>
      <c r="I11" t="n">
        <v>17.8</v>
      </c>
      <c r="J11" t="n">
        <v>7</v>
      </c>
      <c r="K11" t="n">
        <v>10</v>
      </c>
      <c r="L11" t="n">
        <v>17</v>
      </c>
      <c r="M11" t="n">
        <v>3</v>
      </c>
      <c r="N11" t="n">
        <v>0</v>
      </c>
      <c r="O11" t="n">
        <v>0</v>
      </c>
      <c r="P11" t="n">
        <v>0</v>
      </c>
      <c r="Q11" t="n">
        <v>20</v>
      </c>
      <c r="R11" t="n">
        <v>3</v>
      </c>
      <c r="S11" t="n">
        <v>33</v>
      </c>
      <c r="T11" t="n">
        <v>100</v>
      </c>
      <c r="U11" t="n">
        <v>100</v>
      </c>
      <c r="V11"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1">
        <f>HYPERLINK("https://klasma.github.io/Logging_FORSKNINGSRESAN_2026_ARJEPLOG/artfynd/Maskaure Tsågávrrie avvanm, 17,8 ha artfynd.xlsx", "Maskaure Tsågávrrie avvanm, 17,8 ha")</f>
        <v/>
      </c>
      <c r="X11">
        <f>HYPERLINK("https://klasma.github.io/Logging_FORSKNINGSRESAN_2026_ARJEPLOG/kartor/Maskaure Tsågávrrie avvanm, 17,8 ha karta.png", "Maskaure Tsågávrrie avvanm, 17,8 ha")</f>
        <v/>
      </c>
      <c r="Y11">
        <f>HYPERLINK("https://klasma.github.io/Logging_FORSKNINGSRESAN_2026_ARJEPLOG/kartor_geotiff/Maskaure Tsågávrrie avvanm, 17,8 ha georefererad karta.tif", "Maskaure Tsågávrrie avvanm, 17,8 ha")</f>
        <v/>
      </c>
      <c r="AA11">
        <f>HYPERLINK("https://klasma.github.io/Logging_FORSKNINGSRESAN_2026_ARJEPLOG/klagomål/Maskaure Tsågávrrie avvanm, 17,8 ha FSC-klagomål.docx", "Maskaure Tsågávrrie avvanm, 17,8 ha")</f>
        <v/>
      </c>
      <c r="AB11">
        <f>HYPERLINK("https://klasma.github.io/Logging_FORSKNINGSRESAN_2026_ARJEPLOG/klagomålsmail/Maskaure Tsågávrrie avvanm, 17,8 ha FSC-klagomål mail.docx", "Maskaure Tsågávrrie avvanm, 17,8 ha")</f>
        <v/>
      </c>
      <c r="AC11">
        <f>HYPERLINK("https://klasma.github.io/Logging_FORSKNINGSRESAN_2026_ARJEPLOG/tillsyn/Maskaure Tsågávrrie avvanm, 17,8 ha tillsynsbegäran.docx", "Maskaure Tsågávrrie avvanm, 17,8 ha")</f>
        <v/>
      </c>
      <c r="AD11">
        <f>HYPERLINK("https://klasma.github.io/Logging_FORSKNINGSRESAN_2026_ARJEPLOG/tillsynsmail/Maskaure Tsågávrrie avvanm, 17,8 ha tillsynsbegäran mail.docx", "Maskaure Tsågávrrie avvanm, 17,8 ha")</f>
        <v/>
      </c>
      <c r="AE11">
        <f>HYPERLINK("https://klasma.github.io/Logging_FORSKNINGSRESAN_2026_ARJEPLOG/fåglar/Maskaure Tsågávrrie avvanm, 17,8 ha prioriterade fågelarter.docx", "Maskaure Tsågávrrie avvanm, 17,8 ha")</f>
        <v/>
      </c>
      <c r="AF11" t="inlineStr">
        <is>
          <t>avvanm</t>
        </is>
      </c>
      <c r="AG11" t="n">
        <v>1</v>
      </c>
      <c r="AH11" t="inlineStr">
        <is>
          <t>Privat</t>
        </is>
      </c>
      <c r="AI11" t="inlineStr">
        <is>
          <t>Ons: Gr 2 (prio 3)</t>
        </is>
      </c>
      <c r="AJ11" t="inlineStr">
        <is>
          <t>A 64809-2023</t>
        </is>
      </c>
    </row>
    <row r="12" ht="15" customHeight="1">
      <c r="A12" t="inlineStr">
        <is>
          <t>Västra Kikkejaure korsningen Långviken avvanm</t>
        </is>
      </c>
      <c r="B12" t="inlineStr">
        <is>
          <t>inventeringsområde</t>
        </is>
      </c>
      <c r="D12" s="1" t="n">
        <v>46223</v>
      </c>
      <c r="E12" s="1" t="n">
        <v>46227</v>
      </c>
      <c r="F12" t="inlineStr">
        <is>
          <t>Norrbottens län</t>
        </is>
      </c>
      <c r="G12" t="inlineStr">
        <is>
          <t>Arjeplog</t>
        </is>
      </c>
      <c r="H12" t="inlineStr">
        <is>
          <t>Allmännings- och besparingsskogar</t>
        </is>
      </c>
      <c r="I12" t="n">
        <v>25.5</v>
      </c>
      <c r="J12" t="n">
        <v>4</v>
      </c>
      <c r="K12" t="n">
        <v>4</v>
      </c>
      <c r="L12" t="n">
        <v>20</v>
      </c>
      <c r="M12" t="n">
        <v>5</v>
      </c>
      <c r="N12" t="n">
        <v>1</v>
      </c>
      <c r="O12" t="n">
        <v>0</v>
      </c>
      <c r="P12" t="n">
        <v>0</v>
      </c>
      <c r="Q12" t="n">
        <v>26</v>
      </c>
      <c r="R12" t="n">
        <v>6</v>
      </c>
      <c r="S12" t="n">
        <v>32</v>
      </c>
      <c r="T12" t="n">
        <v>188</v>
      </c>
      <c r="U12" t="n">
        <v>188</v>
      </c>
      <c r="V12"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2">
        <f>HYPERLINK("https://klasma.github.io/Logging_FORSKNINGSRESAN_2026_ARJEPLOG/artfynd/Västra Kikkejaure korsningen Långviken avvanm artfynd.xlsx", "Västra Kikkejaure korsningen Långviken avvanm")</f>
        <v/>
      </c>
      <c r="X12">
        <f>HYPERLINK("https://klasma.github.io/Logging_FORSKNINGSRESAN_2026_ARJEPLOG/kartor/Västra Kikkejaure korsningen Långviken avvanm karta.png", "Västra Kikkejaure korsningen Långviken avvanm")</f>
        <v/>
      </c>
      <c r="Y12">
        <f>HYPERLINK("https://klasma.github.io/Logging_FORSKNINGSRESAN_2026_ARJEPLOG/kartor_geotiff/Västra Kikkejaure korsningen Långviken avvanm georefererad karta.tif", "Västra Kikkejaure korsningen Långviken avvanm")</f>
        <v/>
      </c>
      <c r="AA12">
        <f>HYPERLINK("https://klasma.github.io/Logging_FORSKNINGSRESAN_2026_ARJEPLOG/klagomål/Västra Kikkejaure korsningen Långviken avvanm FSC-klagomål.docx", "Västra Kikkejaure korsningen Långviken avvanm")</f>
        <v/>
      </c>
      <c r="AB12">
        <f>HYPERLINK("https://klasma.github.io/Logging_FORSKNINGSRESAN_2026_ARJEPLOG/klagomålsmail/Västra Kikkejaure korsningen Långviken avvanm FSC-klagomål mail.docx", "Västra Kikkejaure korsningen Långviken avvanm")</f>
        <v/>
      </c>
      <c r="AC12">
        <f>HYPERLINK("https://klasma.github.io/Logging_FORSKNINGSRESAN_2026_ARJEPLOG/tillsyn/Västra Kikkejaure korsningen Långviken avvanm tillsynsbegäran.docx", "Västra Kikkejaure korsningen Långviken avvanm")</f>
        <v/>
      </c>
      <c r="AD12">
        <f>HYPERLINK("https://klasma.github.io/Logging_FORSKNINGSRESAN_2026_ARJEPLOG/tillsynsmail/Västra Kikkejaure korsningen Långviken avvanm tillsynsbegäran mail.docx", "Västra Kikkejaure korsningen Långviken avvanm")</f>
        <v/>
      </c>
      <c r="AE12">
        <f>HYPERLINK("https://klasma.github.io/Logging_FORSKNINGSRESAN_2026_ARJEPLOG/fåglar/Västra Kikkejaure korsningen Långviken avvanm prioriterade fågelarter.docx", "Västra Kikkejaure korsningen Långviken avvanm")</f>
        <v/>
      </c>
      <c r="AF12" t="inlineStr">
        <is>
          <t>avvanm, tallnaturskog med silverved</t>
        </is>
      </c>
      <c r="AG12" t="n">
        <v>1</v>
      </c>
      <c r="AH12" t="inlineStr">
        <is>
          <t>Allmännings- och besparingsskogar</t>
        </is>
      </c>
      <c r="AI12" t="inlineStr">
        <is>
          <t>Tis: Gr 2 (prio 1)</t>
        </is>
      </c>
      <c r="AJ12" t="inlineStr">
        <is>
          <t>A 45924-2023</t>
        </is>
      </c>
    </row>
    <row r="13" ht="15" customHeight="1">
      <c r="A13" t="inlineStr">
        <is>
          <t>Bergmyrarna avvanm</t>
        </is>
      </c>
      <c r="B13" t="inlineStr">
        <is>
          <t>inventeringsområde</t>
        </is>
      </c>
      <c r="D13" s="1" t="n">
        <v>46223</v>
      </c>
      <c r="E13" s="1" t="n">
        <v>46227</v>
      </c>
      <c r="F13" t="inlineStr">
        <is>
          <t>Norrbottens län</t>
        </is>
      </c>
      <c r="G13" t="inlineStr">
        <is>
          <t>Arjeplog</t>
        </is>
      </c>
      <c r="H13" t="inlineStr">
        <is>
          <t>Allmännings- och besparingsskogar</t>
        </is>
      </c>
      <c r="I13" t="n">
        <v>17.7</v>
      </c>
      <c r="J13" t="n">
        <v>9</v>
      </c>
      <c r="K13" t="n">
        <v>8</v>
      </c>
      <c r="L13" t="n">
        <v>16</v>
      </c>
      <c r="M13" t="n">
        <v>5</v>
      </c>
      <c r="N13" t="n">
        <v>0</v>
      </c>
      <c r="O13" t="n">
        <v>0</v>
      </c>
      <c r="P13" t="n">
        <v>0</v>
      </c>
      <c r="Q13" t="n">
        <v>21</v>
      </c>
      <c r="R13" t="n">
        <v>5</v>
      </c>
      <c r="S13" t="n">
        <v>32</v>
      </c>
      <c r="T13" t="n">
        <v>252</v>
      </c>
      <c r="U13" t="n">
        <v>252</v>
      </c>
      <c r="V13" s="2" t="inlineStr">
        <is>
          <t>Blackticka
Doftticka
Garnlav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Maskaure Uddnäs avvanm, 4,6 ha</t>
        </is>
      </c>
      <c r="B14" t="inlineStr">
        <is>
          <t>inventeringsområde</t>
        </is>
      </c>
      <c r="D14" s="1" t="n">
        <v>46223</v>
      </c>
      <c r="E14" s="1" t="n">
        <v>46227</v>
      </c>
      <c r="F14" t="inlineStr">
        <is>
          <t>Norrbottens län</t>
        </is>
      </c>
      <c r="G14" t="inlineStr">
        <is>
          <t>Arjeplog</t>
        </is>
      </c>
      <c r="I14" t="n">
        <v>4.6</v>
      </c>
      <c r="J14" t="n">
        <v>4</v>
      </c>
      <c r="K14" t="n">
        <v>5</v>
      </c>
      <c r="L14" t="n">
        <v>18</v>
      </c>
      <c r="M14" t="n">
        <v>5</v>
      </c>
      <c r="N14" t="n">
        <v>0</v>
      </c>
      <c r="O14" t="n">
        <v>0</v>
      </c>
      <c r="P14" t="n">
        <v>0</v>
      </c>
      <c r="Q14" t="n">
        <v>23</v>
      </c>
      <c r="R14" t="n">
        <v>5</v>
      </c>
      <c r="S14" t="n">
        <v>29</v>
      </c>
      <c r="T14" t="n">
        <v>109</v>
      </c>
      <c r="U14" t="n">
        <v>109</v>
      </c>
      <c r="V14"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4">
        <f>HYPERLINK("https://klasma.github.io/Logging_FORSKNINGSRESAN_2026_ARJEPLOG/artfynd/Maskaure Uddnäs avvanm, 4,6 ha artfynd.xlsx", "Maskaure Uddnäs avvanm, 4,6 ha")</f>
        <v/>
      </c>
      <c r="X14">
        <f>HYPERLINK("https://klasma.github.io/Logging_FORSKNINGSRESAN_2026_ARJEPLOG/kartor/Maskaure Uddnäs avvanm, 4,6 ha karta.png", "Maskaure Uddnäs avvanm, 4,6 ha")</f>
        <v/>
      </c>
      <c r="Y14">
        <f>HYPERLINK("https://klasma.github.io/Logging_FORSKNINGSRESAN_2026_ARJEPLOG/kartor_geotiff/Maskaure Uddnäs avvanm, 4,6 ha georefererad karta.tif", "Maskaure Uddnäs avvanm, 4,6 ha")</f>
        <v/>
      </c>
      <c r="AA14">
        <f>HYPERLINK("https://klasma.github.io/Logging_FORSKNINGSRESAN_2026_ARJEPLOG/klagomål/Maskaure Uddnäs avvanm, 4,6 ha FSC-klagomål.docx", "Maskaure Uddnäs avvanm, 4,6 ha")</f>
        <v/>
      </c>
      <c r="AB14">
        <f>HYPERLINK("https://klasma.github.io/Logging_FORSKNINGSRESAN_2026_ARJEPLOG/klagomålsmail/Maskaure Uddnäs avvanm, 4,6 ha FSC-klagomål mail.docx", "Maskaure Uddnäs avvanm, 4,6 ha")</f>
        <v/>
      </c>
      <c r="AC14">
        <f>HYPERLINK("https://klasma.github.io/Logging_FORSKNINGSRESAN_2026_ARJEPLOG/tillsyn/Maskaure Uddnäs avvanm, 4,6 ha tillsynsbegäran.docx", "Maskaure Uddnäs avvanm, 4,6 ha")</f>
        <v/>
      </c>
      <c r="AD14">
        <f>HYPERLINK("https://klasma.github.io/Logging_FORSKNINGSRESAN_2026_ARJEPLOG/tillsynsmail/Maskaure Uddnäs avvanm, 4,6 ha tillsynsbegäran mail.docx", "Maskaure Uddnäs avvanm, 4,6 ha")</f>
        <v/>
      </c>
      <c r="AE14">
        <f>HYPERLINK("https://klasma.github.io/Logging_FORSKNINGSRESAN_2026_ARJEPLOG/fåglar/Maskaure Uddnäs avvanm, 4,6 ha prioriterade fågelarter.docx", "Maskaure Uddnäs avvanm, 4,6 ha")</f>
        <v/>
      </c>
      <c r="AF14" t="inlineStr">
        <is>
          <t>Barrblandskog med äldre gran, nyckelbiotop, avvanm</t>
        </is>
      </c>
      <c r="AG14" t="n">
        <v>1</v>
      </c>
      <c r="AH14" t="inlineStr">
        <is>
          <t>Privat</t>
        </is>
      </c>
      <c r="AI14" t="inlineStr">
        <is>
          <t>Ons: Gr 3</t>
        </is>
      </c>
      <c r="AJ14" t="inlineStr">
        <is>
          <t>A 37442-2025</t>
        </is>
      </c>
    </row>
    <row r="15" ht="15" customHeight="1">
      <c r="A15" t="inlineStr">
        <is>
          <t>Maskaure Långmyran SV, 6,8 ha</t>
        </is>
      </c>
      <c r="B15" t="inlineStr">
        <is>
          <t>inventeringsområde</t>
        </is>
      </c>
      <c r="D15" s="1" t="n">
        <v>46223</v>
      </c>
      <c r="E15" s="1" t="n">
        <v>46227</v>
      </c>
      <c r="F15" t="inlineStr">
        <is>
          <t>Norrbottens län</t>
        </is>
      </c>
      <c r="G15" t="inlineStr">
        <is>
          <t>Arjeplog</t>
        </is>
      </c>
      <c r="H15" t="inlineStr">
        <is>
          <t>Sveaskog</t>
        </is>
      </c>
      <c r="I15" t="n">
        <v>6.9</v>
      </c>
      <c r="J15" t="n">
        <v>4</v>
      </c>
      <c r="K15" t="n">
        <v>3</v>
      </c>
      <c r="L15" t="n">
        <v>16</v>
      </c>
      <c r="M15" t="n">
        <v>4</v>
      </c>
      <c r="N15" t="n">
        <v>0</v>
      </c>
      <c r="O15" t="n">
        <v>0</v>
      </c>
      <c r="P15" t="n">
        <v>0</v>
      </c>
      <c r="Q15" t="n">
        <v>20</v>
      </c>
      <c r="R15" t="n">
        <v>4</v>
      </c>
      <c r="S15" t="n">
        <v>27</v>
      </c>
      <c r="T15" t="n">
        <v>65</v>
      </c>
      <c r="U15" t="n">
        <v>57</v>
      </c>
      <c r="V15"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Spillkråka
Tjäder</t>
        </is>
      </c>
      <c r="W15">
        <f>HYPERLINK("https://klasma.github.io/Logging_FORSKNINGSRESAN_2026_ARJEPLOG/artfynd/Maskaure Långmyran SV, 6,8 ha artfynd.xlsx", "Maskaure Långmyran SV, 6,8 ha")</f>
        <v/>
      </c>
      <c r="X15">
        <f>HYPERLINK("https://klasma.github.io/Logging_FORSKNINGSRESAN_2026_ARJEPLOG/kartor/Maskaure Långmyran SV, 6,8 ha karta.png", "Maskaure Långmyran SV, 6,8 ha")</f>
        <v/>
      </c>
      <c r="Y15">
        <f>HYPERLINK("https://klasma.github.io/Logging_FORSKNINGSRESAN_2026_ARJEPLOG/kartor_geotiff/Maskaure Långmyran SV, 6,8 ha georefererad karta.tif", "Maskaure Långmyran SV, 6,8 ha")</f>
        <v/>
      </c>
      <c r="AA15">
        <f>HYPERLINK("https://klasma.github.io/Logging_FORSKNINGSRESAN_2026_ARJEPLOG/klagomål/Maskaure Långmyran SV, 6,8 ha FSC-klagomål.docx", "Maskaure Långmyran SV, 6,8 ha")</f>
        <v/>
      </c>
      <c r="AB15">
        <f>HYPERLINK("https://klasma.github.io/Logging_FORSKNINGSRESAN_2026_ARJEPLOG/klagomålsmail/Maskaure Långmyran SV, 6,8 ha FSC-klagomål mail.docx", "Maskaure Långmyran SV, 6,8 ha")</f>
        <v/>
      </c>
      <c r="AC15">
        <f>HYPERLINK("https://klasma.github.io/Logging_FORSKNINGSRESAN_2026_ARJEPLOG/tillsyn/Maskaure Långmyran SV, 6,8 ha tillsynsbegäran.docx", "Maskaure Långmyran SV, 6,8 ha")</f>
        <v/>
      </c>
      <c r="AD15">
        <f>HYPERLINK("https://klasma.github.io/Logging_FORSKNINGSRESAN_2026_ARJEPLOG/tillsynsmail/Maskaure Långmyran SV, 6,8 ha tillsynsbegäran mail.docx", "Maskaure Långmyran SV, 6,8 ha")</f>
        <v/>
      </c>
      <c r="AE15">
        <f>HYPERLINK("https://klasma.github.io/Logging_FORSKNINGSRESAN_2026_ARJEPLOG/fåglar/Maskaure Långmyran SV, 6,8 ha prioriterade fågelarter.docx", "Maskaure Långmyran SV, 6,8 ha")</f>
        <v/>
      </c>
      <c r="AF15" t="n">
        <v/>
      </c>
      <c r="AG15" t="n">
        <v>1</v>
      </c>
      <c r="AH15" t="inlineStr">
        <is>
          <t>Sveaskog</t>
        </is>
      </c>
      <c r="AI15" t="inlineStr">
        <is>
          <t>Ons: Gr 3</t>
        </is>
      </c>
      <c r="AJ15" t="n">
        <v/>
      </c>
    </row>
    <row r="16" ht="15" customHeight="1">
      <c r="A16" t="inlineStr">
        <is>
          <t>Västra Kikkejaure Rengärdet avvanm</t>
        </is>
      </c>
      <c r="B16" t="inlineStr">
        <is>
          <t>inventeringsområde</t>
        </is>
      </c>
      <c r="D16" s="1" t="n">
        <v>46223</v>
      </c>
      <c r="E16" s="1" t="n">
        <v>46227</v>
      </c>
      <c r="F16" t="inlineStr">
        <is>
          <t>Norrbottens län</t>
        </is>
      </c>
      <c r="G16" t="inlineStr">
        <is>
          <t>Arjeplog</t>
        </is>
      </c>
      <c r="H16" t="inlineStr">
        <is>
          <t>Allmännings- och besparingsskogar</t>
        </is>
      </c>
      <c r="I16" t="n">
        <v>10.4</v>
      </c>
      <c r="J16" t="n">
        <v>5</v>
      </c>
      <c r="K16" t="n">
        <v>3</v>
      </c>
      <c r="L16" t="n">
        <v>18</v>
      </c>
      <c r="M16" t="n">
        <v>3</v>
      </c>
      <c r="N16" t="n">
        <v>0</v>
      </c>
      <c r="O16" t="n">
        <v>0</v>
      </c>
      <c r="P16" t="n">
        <v>0</v>
      </c>
      <c r="Q16" t="n">
        <v>21</v>
      </c>
      <c r="R16" t="n">
        <v>3</v>
      </c>
      <c r="S16" t="n">
        <v>26</v>
      </c>
      <c r="T16" t="n">
        <v>95</v>
      </c>
      <c r="U16" t="n">
        <v>61</v>
      </c>
      <c r="V16"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6">
        <f>HYPERLINK("https://klasma.github.io/Logging_FORSKNINGSRESAN_2026_ARJEPLOG/artfynd/Västra Kikkejaure Rengärdet avvanm artfynd.xlsx", "Västra Kikkejaure Rengärdet avvanm")</f>
        <v/>
      </c>
      <c r="X16">
        <f>HYPERLINK("https://klasma.github.io/Logging_FORSKNINGSRESAN_2026_ARJEPLOG/kartor/Västra Kikkejaure Rengärdet avvanm karta.png", "Västra Kikkejaure Rengärdet avvanm")</f>
        <v/>
      </c>
      <c r="Y16">
        <f>HYPERLINK("https://klasma.github.io/Logging_FORSKNINGSRESAN_2026_ARJEPLOG/kartor_geotiff/Västra Kikkejaure Rengärdet avvanm georefererad karta.tif", "Västra Kikkejaure Rengärdet avvanm")</f>
        <v/>
      </c>
      <c r="AA16">
        <f>HYPERLINK("https://klasma.github.io/Logging_FORSKNINGSRESAN_2026_ARJEPLOG/klagomål/Västra Kikkejaure Rengärdet avvanm FSC-klagomål.docx", "Västra Kikkejaure Rengärdet avvanm")</f>
        <v/>
      </c>
      <c r="AB16">
        <f>HYPERLINK("https://klasma.github.io/Logging_FORSKNINGSRESAN_2026_ARJEPLOG/klagomålsmail/Västra Kikkejaure Rengärdet avvanm FSC-klagomål mail.docx", "Västra Kikkejaure Rengärdet avvanm")</f>
        <v/>
      </c>
      <c r="AC16">
        <f>HYPERLINK("https://klasma.github.io/Logging_FORSKNINGSRESAN_2026_ARJEPLOG/tillsyn/Västra Kikkejaure Rengärdet avvanm tillsynsbegäran.docx", "Västra Kikkejaure Rengärdet avvanm")</f>
        <v/>
      </c>
      <c r="AD16">
        <f>HYPERLINK("https://klasma.github.io/Logging_FORSKNINGSRESAN_2026_ARJEPLOG/tillsynsmail/Västra Kikkejaure Rengärdet avvanm tillsynsbegäran mail.docx", "Västra Kikkejaure Rengärdet avvanm")</f>
        <v/>
      </c>
      <c r="AE16">
        <f>HYPERLINK("https://klasma.github.io/Logging_FORSKNINGSRESAN_2026_ARJEPLOG/fåglar/Västra Kikkejaure Rengärdet avvanm prioriterade fågelarter.docx", "Västra Kikkejaure Rengärdet avvanm")</f>
        <v/>
      </c>
      <c r="AF16" t="inlineStr">
        <is>
          <t>Delvis inventerad av Fältbiologerna, komplettera! avvanm</t>
        </is>
      </c>
      <c r="AG16" t="n">
        <v>1</v>
      </c>
      <c r="AH16" t="inlineStr">
        <is>
          <t>Allmännings- och besparingsskogar</t>
        </is>
      </c>
      <c r="AI16" t="inlineStr">
        <is>
          <t>Tis: Gr 2 (prio 2)</t>
        </is>
      </c>
      <c r="AJ16" t="inlineStr">
        <is>
          <t>A 26954-2022</t>
        </is>
      </c>
    </row>
    <row r="17" ht="15" customHeight="1">
      <c r="A17" t="inlineStr">
        <is>
          <t>Maskaure Renskötartjärnen, 8,3 ha</t>
        </is>
      </c>
      <c r="B17" t="inlineStr">
        <is>
          <t>inventeringsområde</t>
        </is>
      </c>
      <c r="D17" s="1" t="n">
        <v>46223</v>
      </c>
      <c r="E17" s="1" t="n">
        <v>46227</v>
      </c>
      <c r="F17" t="inlineStr">
        <is>
          <t>Norrbottens län</t>
        </is>
      </c>
      <c r="G17" t="inlineStr">
        <is>
          <t>Arjeplog</t>
        </is>
      </c>
      <c r="H17" t="inlineStr">
        <is>
          <t>Sveaskog</t>
        </is>
      </c>
      <c r="I17" t="n">
        <v>8.300000000000001</v>
      </c>
      <c r="J17" t="n">
        <v>2</v>
      </c>
      <c r="K17" t="n">
        <v>2</v>
      </c>
      <c r="L17" t="n">
        <v>12</v>
      </c>
      <c r="M17" t="n">
        <v>8</v>
      </c>
      <c r="N17" t="n">
        <v>0</v>
      </c>
      <c r="O17" t="n">
        <v>1</v>
      </c>
      <c r="P17" t="n">
        <v>0</v>
      </c>
      <c r="Q17" t="n">
        <v>21</v>
      </c>
      <c r="R17" t="n">
        <v>9</v>
      </c>
      <c r="S17" t="n">
        <v>24</v>
      </c>
      <c r="T17" t="n">
        <v>80</v>
      </c>
      <c r="U17" t="n">
        <v>48</v>
      </c>
      <c r="V17"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Luddlav
Plattlummer
Revlummer</t>
        </is>
      </c>
      <c r="W17">
        <f>HYPERLINK("https://klasma.github.io/Logging_FORSKNINGSRESAN_2026_ARJEPLOG/artfynd/Maskaure Renskötartjärnen, 8,3 ha artfynd.xlsx", "Maskaure Renskötartjärnen, 8,3 ha")</f>
        <v/>
      </c>
      <c r="X17">
        <f>HYPERLINK("https://klasma.github.io/Logging_FORSKNINGSRESAN_2026_ARJEPLOG/kartor/Maskaure Renskötartjärnen, 8,3 ha karta.png", "Maskaure Renskötartjärnen, 8,3 ha")</f>
        <v/>
      </c>
      <c r="Y17">
        <f>HYPERLINK("https://klasma.github.io/Logging_FORSKNINGSRESAN_2026_ARJEPLOG/kartor_geotiff/Maskaure Renskötartjärnen, 8,3 ha georefererad karta.tif", "Maskaure Renskötartjärnen, 8,3 ha")</f>
        <v/>
      </c>
      <c r="AA17">
        <f>HYPERLINK("https://klasma.github.io/Logging_FORSKNINGSRESAN_2026_ARJEPLOG/klagomål/Maskaure Renskötartjärnen, 8,3 ha FSC-klagomål.docx", "Maskaure Renskötartjärnen, 8,3 ha")</f>
        <v/>
      </c>
      <c r="AB17">
        <f>HYPERLINK("https://klasma.github.io/Logging_FORSKNINGSRESAN_2026_ARJEPLOG/klagomålsmail/Maskaure Renskötartjärnen, 8,3 ha FSC-klagomål mail.docx", "Maskaure Renskötartjärnen, 8,3 ha")</f>
        <v/>
      </c>
      <c r="AC17">
        <f>HYPERLINK("https://klasma.github.io/Logging_FORSKNINGSRESAN_2026_ARJEPLOG/tillsyn/Maskaure Renskötartjärnen, 8,3 ha tillsynsbegäran.docx", "Maskaure Renskötartjärnen, 8,3 ha")</f>
        <v/>
      </c>
      <c r="AD17">
        <f>HYPERLINK("https://klasma.github.io/Logging_FORSKNINGSRESAN_2026_ARJEPLOG/tillsynsmail/Maskaure Renskötartjärnen, 8,3 ha tillsynsbegäran mail.docx", "Maskaure Renskötartjärnen, 8,3 ha")</f>
        <v/>
      </c>
      <c r="AF17" t="inlineStr">
        <is>
          <t>k-skog, ej rekad</t>
        </is>
      </c>
      <c r="AG17" t="n">
        <v>1</v>
      </c>
      <c r="AH17" t="inlineStr">
        <is>
          <t>Sveaskog</t>
        </is>
      </c>
      <c r="AI17" t="inlineStr">
        <is>
          <t>Ons: Gr 3</t>
        </is>
      </c>
      <c r="AJ17" t="n">
        <v/>
      </c>
    </row>
    <row r="18" ht="15" customHeight="1">
      <c r="A18" t="inlineStr">
        <is>
          <t>Njuöniesvárrie NV avvanm</t>
        </is>
      </c>
      <c r="B18" t="inlineStr">
        <is>
          <t>inventeringsområde</t>
        </is>
      </c>
      <c r="D18" s="1" t="n">
        <v>46223</v>
      </c>
      <c r="E18" s="1" t="n">
        <v>46227</v>
      </c>
      <c r="F18" t="inlineStr">
        <is>
          <t>Norrbottens län</t>
        </is>
      </c>
      <c r="G18" t="inlineStr">
        <is>
          <t>Arjeplog</t>
        </is>
      </c>
      <c r="H18" t="inlineStr">
        <is>
          <t>Allmännings- och besparingsskogar</t>
        </is>
      </c>
      <c r="I18" t="n">
        <v>39.8</v>
      </c>
      <c r="J18" t="n">
        <v>4</v>
      </c>
      <c r="K18" t="n">
        <v>3</v>
      </c>
      <c r="L18" t="n">
        <v>13</v>
      </c>
      <c r="M18" t="n">
        <v>5</v>
      </c>
      <c r="N18" t="n">
        <v>1</v>
      </c>
      <c r="O18" t="n">
        <v>0</v>
      </c>
      <c r="P18" t="n">
        <v>0</v>
      </c>
      <c r="Q18" t="n">
        <v>19</v>
      </c>
      <c r="R18" t="n">
        <v>6</v>
      </c>
      <c r="S18" t="n">
        <v>23</v>
      </c>
      <c r="T18" t="n">
        <v>73</v>
      </c>
      <c r="U18" t="n">
        <v>73</v>
      </c>
      <c r="V18"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8">
        <f>HYPERLINK("https://klasma.github.io/Logging_FORSKNINGSRESAN_2026_ARJEPLOG/artfynd/Njuöniesvárrie NV avvanm artfynd.xlsx", "Njuöniesvárrie NV avvanm")</f>
        <v/>
      </c>
      <c r="X18">
        <f>HYPERLINK("https://klasma.github.io/Logging_FORSKNINGSRESAN_2026_ARJEPLOG/kartor/Njuöniesvárrie NV avvanm karta.png", "Njuöniesvárrie NV avvanm")</f>
        <v/>
      </c>
      <c r="Y18">
        <f>HYPERLINK("https://klasma.github.io/Logging_FORSKNINGSRESAN_2026_ARJEPLOG/kartor_geotiff/Njuöniesvárrie NV avvanm georefererad karta.tif", "Njuöniesvárrie NV avvanm")</f>
        <v/>
      </c>
      <c r="Z18">
        <f>HYPERLINK("https://klasma.github.io/Logging_FORSKNINGSRESAN_2026_ARJEPLOG/knärot/Njuöniesvárrie NV avvanm karta knärot.png", "Njuöniesvárrie NV avvanm")</f>
        <v/>
      </c>
      <c r="AA18">
        <f>HYPERLINK("https://klasma.github.io/Logging_FORSKNINGSRESAN_2026_ARJEPLOG/klagomål/Njuöniesvárrie NV avvanm FSC-klagomål.docx", "Njuöniesvárrie NV avvanm")</f>
        <v/>
      </c>
      <c r="AB18">
        <f>HYPERLINK("https://klasma.github.io/Logging_FORSKNINGSRESAN_2026_ARJEPLOG/klagomålsmail/Njuöniesvárrie NV avvanm FSC-klagomål mail.docx", "Njuöniesvárrie NV avvanm")</f>
        <v/>
      </c>
      <c r="AC18">
        <f>HYPERLINK("https://klasma.github.io/Logging_FORSKNINGSRESAN_2026_ARJEPLOG/tillsyn/Njuöniesvárrie NV avvanm tillsynsbegäran.docx", "Njuöniesvárrie NV avvanm")</f>
        <v/>
      </c>
      <c r="AD18">
        <f>HYPERLINK("https://klasma.github.io/Logging_FORSKNINGSRESAN_2026_ARJEPLOG/tillsynsmail/Njuöniesvárrie NV avvanm tillsynsbegäran mail.docx", "Njuöniesvárrie NV avvanm")</f>
        <v/>
      </c>
      <c r="AE18">
        <f>HYPERLINK("https://klasma.github.io/Logging_FORSKNINGSRESAN_2026_ARJEPLOG/fåglar/Njuöniesvárrie NV avvanm prioriterade fågelarter.docx", "Njuöniesvárrie NV avvanm")</f>
        <v/>
      </c>
      <c r="AF18" t="inlineStr">
        <is>
          <t>Barrblandskog, eventuellt bom!! avvanm</t>
        </is>
      </c>
      <c r="AG18" t="n">
        <v>1</v>
      </c>
      <c r="AH18" t="inlineStr">
        <is>
          <t>Allmännings- och besparingsskogar</t>
        </is>
      </c>
      <c r="AI18" t="n">
        <v/>
      </c>
      <c r="AJ18" t="n">
        <v/>
      </c>
    </row>
    <row r="19" ht="15" customHeight="1">
      <c r="A19" t="inlineStr">
        <is>
          <t>Maskaure Mullholm avvanm, 39,6 ha</t>
        </is>
      </c>
      <c r="B19" t="inlineStr">
        <is>
          <t>inventeringsområde</t>
        </is>
      </c>
      <c r="D19" s="1" t="n">
        <v>46223</v>
      </c>
      <c r="E19" s="1" t="n">
        <v>46227</v>
      </c>
      <c r="F19" t="inlineStr">
        <is>
          <t>Norrbottens län</t>
        </is>
      </c>
      <c r="G19" t="inlineStr">
        <is>
          <t>Arjeplog</t>
        </is>
      </c>
      <c r="I19" t="n">
        <v>39.6</v>
      </c>
      <c r="J19" t="n">
        <v>9</v>
      </c>
      <c r="K19" t="n">
        <v>2</v>
      </c>
      <c r="L19" t="n">
        <v>14</v>
      </c>
      <c r="M19" t="n">
        <v>1</v>
      </c>
      <c r="N19" t="n">
        <v>0</v>
      </c>
      <c r="O19" t="n">
        <v>0</v>
      </c>
      <c r="P19" t="n">
        <v>0</v>
      </c>
      <c r="Q19" t="n">
        <v>15</v>
      </c>
      <c r="R19" t="n">
        <v>1</v>
      </c>
      <c r="S19" t="n">
        <v>20</v>
      </c>
      <c r="T19" t="n">
        <v>66</v>
      </c>
      <c r="U19" t="n">
        <v>50</v>
      </c>
      <c r="V19" s="2" t="inlineStr">
        <is>
          <t>Fläckporing
Blanksvart spiklav
Drillsnäppa
Dropptaggsvamp
Duvhök
Dvärgbägarlav
Kortskaftad ärgspik
Lavskrika
Nordtagging
Talltagel
Talltita
Tretåig hackspett
Vedflamlav
Vedskivlav
Älg
Plattlummer
Vedticka
Spillkråka
Tjäder
Havsörn</t>
        </is>
      </c>
      <c r="W19">
        <f>HYPERLINK("https://klasma.github.io/Logging_FORSKNINGSRESAN_2026_ARJEPLOG/artfynd/Maskaure Mullholm avvanm, 39,6 ha artfynd.xlsx", "Maskaure Mullholm avvanm, 39,6 ha")</f>
        <v/>
      </c>
      <c r="X19">
        <f>HYPERLINK("https://klasma.github.io/Logging_FORSKNINGSRESAN_2026_ARJEPLOG/kartor/Maskaure Mullholm avvanm, 39,6 ha karta.png", "Maskaure Mullholm avvanm, 39,6 ha")</f>
        <v/>
      </c>
      <c r="Y19">
        <f>HYPERLINK("https://klasma.github.io/Logging_FORSKNINGSRESAN_2026_ARJEPLOG/kartor_geotiff/Maskaure Mullholm avvanm, 39,6 ha georefererad karta.tif", "Maskaure Mullholm avvanm, 39,6 ha")</f>
        <v/>
      </c>
      <c r="AA19">
        <f>HYPERLINK("https://klasma.github.io/Logging_FORSKNINGSRESAN_2026_ARJEPLOG/klagomål/Maskaure Mullholm avvanm, 39,6 ha FSC-klagomål.docx", "Maskaure Mullholm avvanm, 39,6 ha")</f>
        <v/>
      </c>
      <c r="AB19">
        <f>HYPERLINK("https://klasma.github.io/Logging_FORSKNINGSRESAN_2026_ARJEPLOG/klagomålsmail/Maskaure Mullholm avvanm, 39,6 ha FSC-klagomål mail.docx", "Maskaure Mullholm avvanm, 39,6 ha")</f>
        <v/>
      </c>
      <c r="AC19">
        <f>HYPERLINK("https://klasma.github.io/Logging_FORSKNINGSRESAN_2026_ARJEPLOG/tillsyn/Maskaure Mullholm avvanm, 39,6 ha tillsynsbegäran.docx", "Maskaure Mullholm avvanm, 39,6 ha")</f>
        <v/>
      </c>
      <c r="AD19">
        <f>HYPERLINK("https://klasma.github.io/Logging_FORSKNINGSRESAN_2026_ARJEPLOG/tillsynsmail/Maskaure Mullholm avvanm, 39,6 ha tillsynsbegäran mail.docx", "Maskaure Mullholm avvanm, 39,6 ha")</f>
        <v/>
      </c>
      <c r="AE19">
        <f>HYPERLINK("https://klasma.github.io/Logging_FORSKNINGSRESAN_2026_ARJEPLOG/fåglar/Maskaure Mullholm avvanm, 39,6 ha prioriterade fågelarter.docx", "Maskaure Mullholm avvanm, 39,6 ha")</f>
        <v/>
      </c>
      <c r="AF19" t="inlineStr">
        <is>
          <t>avvanm på en ö, skjuts över med båt</t>
        </is>
      </c>
      <c r="AG19" t="n">
        <v>1</v>
      </c>
      <c r="AH19" t="inlineStr">
        <is>
          <t>Privat</t>
        </is>
      </c>
      <c r="AI19" t="inlineStr">
        <is>
          <t>Ons: Gr 2 (prio 1)</t>
        </is>
      </c>
      <c r="AJ19" t="inlineStr">
        <is>
          <t>A 34430-2025</t>
        </is>
      </c>
    </row>
    <row r="20" ht="15" customHeight="1">
      <c r="A20" t="inlineStr">
        <is>
          <t>Maskaure Myrås avvanm, 5 ha</t>
        </is>
      </c>
      <c r="B20" t="inlineStr">
        <is>
          <t>inventeringsområde</t>
        </is>
      </c>
      <c r="D20" s="1" t="n">
        <v>46223</v>
      </c>
      <c r="E20" s="1" t="n">
        <v>46227</v>
      </c>
      <c r="F20" t="inlineStr">
        <is>
          <t>Norrbottens län</t>
        </is>
      </c>
      <c r="G20" t="inlineStr">
        <is>
          <t>Arjeplog</t>
        </is>
      </c>
      <c r="I20" t="n">
        <v>5</v>
      </c>
      <c r="J20" t="n">
        <v>3</v>
      </c>
      <c r="K20" t="n">
        <v>2</v>
      </c>
      <c r="L20" t="n">
        <v>12</v>
      </c>
      <c r="M20" t="n">
        <v>2</v>
      </c>
      <c r="N20" t="n">
        <v>0</v>
      </c>
      <c r="O20" t="n">
        <v>0</v>
      </c>
      <c r="P20" t="n">
        <v>0</v>
      </c>
      <c r="Q20" t="n">
        <v>14</v>
      </c>
      <c r="R20" t="n">
        <v>2</v>
      </c>
      <c r="S20" t="n">
        <v>17</v>
      </c>
      <c r="T20" t="n">
        <v>57</v>
      </c>
      <c r="U20" t="n">
        <v>42</v>
      </c>
      <c r="V20" s="2" t="inlineStr">
        <is>
          <t>Garnlav
Gränsticka
Blanksvart spiklav
Blågrå svartspik
Dvärgbägarlav
Gammelgransskål
Knottrig blåslav
Kolflarnlav
Kortskaftad ärgspik
Mörk kolflarnlav
Talltagel
Tretåig hackspett
Vedflamlav
Vedskivlav
Spindelblomster
Vedticka
Revlummer</t>
        </is>
      </c>
      <c r="W20">
        <f>HYPERLINK("https://klasma.github.io/Logging_FORSKNINGSRESAN_2026_ARJEPLOG/artfynd/Maskaure Myrås avvanm, 5 ha artfynd.xlsx", "Maskaure Myrås avvanm, 5 ha")</f>
        <v/>
      </c>
      <c r="X20">
        <f>HYPERLINK("https://klasma.github.io/Logging_FORSKNINGSRESAN_2026_ARJEPLOG/kartor/Maskaure Myrås avvanm, 5 ha karta.png", "Maskaure Myrås avvanm, 5 ha")</f>
        <v/>
      </c>
      <c r="Y20">
        <f>HYPERLINK("https://klasma.github.io/Logging_FORSKNINGSRESAN_2026_ARJEPLOG/kartor_geotiff/Maskaure Myrås avvanm, 5 ha georefererad karta.tif", "Maskaure Myrås avvanm, 5 ha")</f>
        <v/>
      </c>
      <c r="AA20">
        <f>HYPERLINK("https://klasma.github.io/Logging_FORSKNINGSRESAN_2026_ARJEPLOG/klagomål/Maskaure Myrås avvanm, 5 ha FSC-klagomål.docx", "Maskaure Myrås avvanm, 5 ha")</f>
        <v/>
      </c>
      <c r="AB20">
        <f>HYPERLINK("https://klasma.github.io/Logging_FORSKNINGSRESAN_2026_ARJEPLOG/klagomålsmail/Maskaure Myrås avvanm, 5 ha FSC-klagomål mail.docx", "Maskaure Myrås avvanm, 5 ha")</f>
        <v/>
      </c>
      <c r="AC20">
        <f>HYPERLINK("https://klasma.github.io/Logging_FORSKNINGSRESAN_2026_ARJEPLOG/tillsyn/Maskaure Myrås avvanm, 5 ha tillsynsbegäran.docx", "Maskaure Myrås avvanm, 5 ha")</f>
        <v/>
      </c>
      <c r="AD20">
        <f>HYPERLINK("https://klasma.github.io/Logging_FORSKNINGSRESAN_2026_ARJEPLOG/tillsynsmail/Maskaure Myrås avvanm, 5 ha tillsynsbegäran mail.docx", "Maskaure Myrås avvanm, 5 ha")</f>
        <v/>
      </c>
      <c r="AE20">
        <f>HYPERLINK("https://klasma.github.io/Logging_FORSKNINGSRESAN_2026_ARJEPLOG/fåglar/Maskaure Myrås avvanm, 5 ha prioriterade fågelarter.docx", "Maskaure Myrås avvanm, 5 ha")</f>
        <v/>
      </c>
      <c r="AF20" t="inlineStr">
        <is>
          <t>avvanm, delvis inventerad</t>
        </is>
      </c>
      <c r="AG20" t="n">
        <v>1</v>
      </c>
      <c r="AH20" t="inlineStr">
        <is>
          <t>Privat</t>
        </is>
      </c>
      <c r="AI20" t="inlineStr">
        <is>
          <t>Ons: Gr 2 (prio 2)</t>
        </is>
      </c>
      <c r="AJ20" t="inlineStr">
        <is>
          <t>A 64837-2023</t>
        </is>
      </c>
    </row>
    <row r="21" ht="15" customHeight="1">
      <c r="A21" t="inlineStr">
        <is>
          <t>Juvtábákte utvidgning S</t>
        </is>
      </c>
      <c r="B21" t="inlineStr">
        <is>
          <t>inventeringsområde</t>
        </is>
      </c>
      <c r="D21" s="1" t="n">
        <v>46223</v>
      </c>
      <c r="E21" s="1" t="n">
        <v>46227</v>
      </c>
      <c r="F21" t="inlineStr">
        <is>
          <t>Norrbottens län</t>
        </is>
      </c>
      <c r="G21" t="inlineStr">
        <is>
          <t>Arjeplog</t>
        </is>
      </c>
      <c r="H21" t="inlineStr">
        <is>
          <t>Övriga statliga verk och myndigheter</t>
        </is>
      </c>
      <c r="I21" t="n">
        <v>143</v>
      </c>
      <c r="J21" t="n">
        <v>9</v>
      </c>
      <c r="K21" t="n">
        <v>4</v>
      </c>
      <c r="L21" t="n">
        <v>9</v>
      </c>
      <c r="M21" t="n">
        <v>0</v>
      </c>
      <c r="N21" t="n">
        <v>0</v>
      </c>
      <c r="O21" t="n">
        <v>0</v>
      </c>
      <c r="P21" t="n">
        <v>0</v>
      </c>
      <c r="Q21" t="n">
        <v>9</v>
      </c>
      <c r="R21" t="n">
        <v>0</v>
      </c>
      <c r="S21" t="n">
        <v>17</v>
      </c>
      <c r="T21" t="n">
        <v>23</v>
      </c>
      <c r="U21" t="n">
        <v>1</v>
      </c>
      <c r="V21" s="2" t="inlineStr">
        <is>
          <t>Blå taggsvamp
Dropptaggsvamp
Lappmes
Lavskrika
Skarp dropptaggsvamp
Stickelfrö
Talltagel
Tretåig hackspett
Ullticka
Nordlig fjädermossa
Plattlummer
Spindelblomster
Ögonpyrola
Mattlummer
Brudsporre
Fläcknycklar
Revlummer</t>
        </is>
      </c>
      <c r="W21">
        <f>HYPERLINK("https://klasma.github.io/Logging_FORSKNINGSRESAN_2026_ARJEPLOG/artfynd/Juvtábákte utvidgning S artfynd.xlsx", "Juvtábákte utvidgning S")</f>
        <v/>
      </c>
      <c r="X21">
        <f>HYPERLINK("https://klasma.github.io/Logging_FORSKNINGSRESAN_2026_ARJEPLOG/kartor/Juvtábákte utvidgning S karta.png", "Juvtábákte utvidgning S")</f>
        <v/>
      </c>
      <c r="Y21">
        <f>HYPERLINK("https://klasma.github.io/Logging_FORSKNINGSRESAN_2026_ARJEPLOG/kartor_geotiff/Juvtábákte utvidgning S georefererad karta.tif", "Juvtábákte utvidgning S")</f>
        <v/>
      </c>
      <c r="AA21">
        <f>HYPERLINK("https://klasma.github.io/Logging_FORSKNINGSRESAN_2026_ARJEPLOG/klagomål/Juvtábákte utvidgning S FSC-klagomål.docx", "Juvtábákte utvidgning S")</f>
        <v/>
      </c>
      <c r="AB21">
        <f>HYPERLINK("https://klasma.github.io/Logging_FORSKNINGSRESAN_2026_ARJEPLOG/klagomålsmail/Juvtábákte utvidgning S FSC-klagomål mail.docx", "Juvtábákte utvidgning S")</f>
        <v/>
      </c>
      <c r="AC21">
        <f>HYPERLINK("https://klasma.github.io/Logging_FORSKNINGSRESAN_2026_ARJEPLOG/tillsyn/Juvtábákte utvidgning S tillsynsbegäran.docx", "Juvtábákte utvidgning S")</f>
        <v/>
      </c>
      <c r="AD21">
        <f>HYPERLINK("https://klasma.github.io/Logging_FORSKNINGSRESAN_2026_ARJEPLOG/tillsynsmail/Juvtábákte utvidgning S tillsynsbegäran mail.docx", "Juvtábákte utvidgning S")</f>
        <v/>
      </c>
      <c r="AE21">
        <f>HYPERLINK("https://klasma.github.io/Logging_FORSKNINGSRESAN_2026_ARJEPLOG/fåglar/Juvtábákte utvidgning S prioriterade fågelarter.docx", "Juvtábákte utvidgning S")</f>
        <v/>
      </c>
      <c r="AF21" t="inlineStr">
        <is>
          <t>Avskrevs på samr.möte 171116. Samr. m SFV gäller ej längre. Inv 2022 + branten på priv.m. Ö om. Viktigt för att få ner reservatet till allmän väg, vilket ökar tillgängligheten. Bytt namn 230314 till ...Silvervägen. /FF Bör ingå i planerat</t>
        </is>
      </c>
      <c r="AG21" t="n">
        <v>2</v>
      </c>
      <c r="AH21" t="inlineStr">
        <is>
          <t>Fastighetsverket</t>
        </is>
      </c>
      <c r="AI21" t="inlineStr">
        <is>
          <t>Tis: Gr 4</t>
        </is>
      </c>
      <c r="AJ21" t="n">
        <v/>
      </c>
    </row>
    <row r="22" ht="15" customHeight="1">
      <c r="A22" t="inlineStr">
        <is>
          <t>Bremudden avvanm</t>
        </is>
      </c>
      <c r="B22" t="inlineStr">
        <is>
          <t>inventeringsområde</t>
        </is>
      </c>
      <c r="D22" s="1" t="n">
        <v>46223</v>
      </c>
      <c r="E22" s="1" t="n">
        <v>46227</v>
      </c>
      <c r="F22" t="inlineStr">
        <is>
          <t>Norrbottens län</t>
        </is>
      </c>
      <c r="G22" t="inlineStr">
        <is>
          <t>Arjeplog</t>
        </is>
      </c>
      <c r="I22" t="n">
        <v>19.7</v>
      </c>
      <c r="J22" t="n">
        <v>4</v>
      </c>
      <c r="K22" t="n">
        <v>0</v>
      </c>
      <c r="L22" t="n">
        <v>10</v>
      </c>
      <c r="M22" t="n">
        <v>3</v>
      </c>
      <c r="N22" t="n">
        <v>0</v>
      </c>
      <c r="O22" t="n">
        <v>0</v>
      </c>
      <c r="P22" t="n">
        <v>0</v>
      </c>
      <c r="Q22" t="n">
        <v>13</v>
      </c>
      <c r="R22" t="n">
        <v>3</v>
      </c>
      <c r="S22" t="n">
        <v>16</v>
      </c>
      <c r="T22" t="n">
        <v>20</v>
      </c>
      <c r="U22" t="n">
        <v>20</v>
      </c>
      <c r="V22" s="2" t="inlineStr">
        <is>
          <t>Fläckporing
Garnlav
Gräddporing
Blanksvart spiklav
Dvärgbägarlav
Grå blåbärsfältmätare
Mörk kolflarnlav
Talltagel
Talltita
Vedflamlav
Vedskivlav
Vitplätt
Älg
Tjäder
Vanlig groda
Revlummer</t>
        </is>
      </c>
      <c r="W22">
        <f>HYPERLINK("https://klasma.github.io/Logging_FORSKNINGSRESAN_2026_ARJEPLOG/artfynd/Bremudden avvanm artfynd.xlsx", "Bremudden avvanm")</f>
        <v/>
      </c>
      <c r="X22">
        <f>HYPERLINK("https://klasma.github.io/Logging_FORSKNINGSRESAN_2026_ARJEPLOG/kartor/Bremudden avvanm karta.png", "Bremudden avvanm")</f>
        <v/>
      </c>
      <c r="Y22">
        <f>HYPERLINK("https://klasma.github.io/Logging_FORSKNINGSRESAN_2026_ARJEPLOG/kartor_geotiff/Bremudden avvanm georefererad karta.tif", "Bremudden avvanm")</f>
        <v/>
      </c>
      <c r="AA22">
        <f>HYPERLINK("https://klasma.github.io/Logging_FORSKNINGSRESAN_2026_ARJEPLOG/klagomål/Bremudden avvanm FSC-klagomål.docx", "Bremudden avvanm")</f>
        <v/>
      </c>
      <c r="AB22">
        <f>HYPERLINK("https://klasma.github.io/Logging_FORSKNINGSRESAN_2026_ARJEPLOG/klagomålsmail/Bremudden avvanm FSC-klagomål mail.docx", "Bremudden avvanm")</f>
        <v/>
      </c>
      <c r="AC22">
        <f>HYPERLINK("https://klasma.github.io/Logging_FORSKNINGSRESAN_2026_ARJEPLOG/tillsyn/Bremudden avvanm tillsynsbegäran.docx", "Bremudden avvanm")</f>
        <v/>
      </c>
      <c r="AD22">
        <f>HYPERLINK("https://klasma.github.io/Logging_FORSKNINGSRESAN_2026_ARJEPLOG/tillsynsmail/Bremudden avvanm tillsynsbegäran mail.docx", "Bremudden avvanm")</f>
        <v/>
      </c>
      <c r="AE22">
        <f>HYPERLINK("https://klasma.github.io/Logging_FORSKNINGSRESAN_2026_ARJEPLOG/fåglar/Bremudden avvanm prioriterade fågelarter.docx", "Bremudden avvanm")</f>
        <v/>
      </c>
      <c r="AF22" t="inlineStr">
        <is>
          <t>avvanm</t>
        </is>
      </c>
      <c r="AG22" t="n">
        <v/>
      </c>
      <c r="AH22" t="inlineStr">
        <is>
          <t>Privat</t>
        </is>
      </c>
      <c r="AI22" t="inlineStr">
        <is>
          <t>Tis: Gr 1 (prio 2)</t>
        </is>
      </c>
      <c r="AJ22" t="inlineStr">
        <is>
          <t>A 24892-2026</t>
        </is>
      </c>
    </row>
    <row r="23" ht="15" customHeight="1">
      <c r="A23" t="inlineStr">
        <is>
          <t>S om Kvarntjärnen</t>
        </is>
      </c>
      <c r="B23" t="inlineStr">
        <is>
          <t>inventeringsområde</t>
        </is>
      </c>
      <c r="D23" s="1" t="n">
        <v>46223</v>
      </c>
      <c r="E23" s="1" t="n">
        <v>46227</v>
      </c>
      <c r="F23" t="inlineStr">
        <is>
          <t>Norrbottens län</t>
        </is>
      </c>
      <c r="G23" t="inlineStr">
        <is>
          <t>Arjeplog</t>
        </is>
      </c>
      <c r="H23" t="inlineStr">
        <is>
          <t>Sveaskog</t>
        </is>
      </c>
      <c r="I23" t="n">
        <v>27.7</v>
      </c>
      <c r="J23" t="n">
        <v>4</v>
      </c>
      <c r="K23" t="n">
        <v>3</v>
      </c>
      <c r="L23" t="n">
        <v>9</v>
      </c>
      <c r="M23" t="n">
        <v>2</v>
      </c>
      <c r="N23" t="n">
        <v>1</v>
      </c>
      <c r="O23" t="n">
        <v>0</v>
      </c>
      <c r="P23" t="n">
        <v>0</v>
      </c>
      <c r="Q23" t="n">
        <v>12</v>
      </c>
      <c r="R23" t="n">
        <v>3</v>
      </c>
      <c r="S23" t="n">
        <v>15</v>
      </c>
      <c r="T23" t="n">
        <v>82</v>
      </c>
      <c r="U23" t="n">
        <v>82</v>
      </c>
      <c r="V23" s="2" t="inlineStr">
        <is>
          <t>Lusporing
Garnlav
Gräddporing
Blanksvart spiklav
Dropptaggsvamp
Dvärgbägarlav
Lavskrika
Nordtagging
Talltagel
Talltita
Tretåig hackspett
Vedskivlav
Norrlandslav
Plattlummer
Vedticka</t>
        </is>
      </c>
      <c r="W23">
        <f>HYPERLINK("https://klasma.github.io/Logging_FORSKNINGSRESAN_2026_ARJEPLOG/artfynd/S om Kvarntjärnen artfynd.xlsx", "S om Kvarntjärnen")</f>
        <v/>
      </c>
      <c r="X23">
        <f>HYPERLINK("https://klasma.github.io/Logging_FORSKNINGSRESAN_2026_ARJEPLOG/kartor/S om Kvarntjärnen karta.png", "S om Kvarntjärnen")</f>
        <v/>
      </c>
      <c r="Y23">
        <f>HYPERLINK("https://klasma.github.io/Logging_FORSKNINGSRESAN_2026_ARJEPLOG/kartor_geotiff/S om Kvarntjärnen georefererad karta.tif", "S om Kvarntjärnen")</f>
        <v/>
      </c>
      <c r="AA23">
        <f>HYPERLINK("https://klasma.github.io/Logging_FORSKNINGSRESAN_2026_ARJEPLOG/klagomål/S om Kvarntjärnen FSC-klagomål.docx", "S om Kvarntjärnen")</f>
        <v/>
      </c>
      <c r="AB23">
        <f>HYPERLINK("https://klasma.github.io/Logging_FORSKNINGSRESAN_2026_ARJEPLOG/klagomålsmail/S om Kvarntjärnen FSC-klagomål mail.docx", "S om Kvarntjärnen")</f>
        <v/>
      </c>
      <c r="AC23">
        <f>HYPERLINK("https://klasma.github.io/Logging_FORSKNINGSRESAN_2026_ARJEPLOG/tillsyn/S om Kvarntjärnen tillsynsbegäran.docx", "S om Kvarntjärnen")</f>
        <v/>
      </c>
      <c r="AD23">
        <f>HYPERLINK("https://klasma.github.io/Logging_FORSKNINGSRESAN_2026_ARJEPLOG/tillsynsmail/S om Kvarntjärnen tillsynsbegäran mail.docx", "S om Kvarntjärnen")</f>
        <v/>
      </c>
      <c r="AE23">
        <f>HYPERLINK("https://klasma.github.io/Logging_FORSKNINGSRESAN_2026_ARJEPLOG/fåglar/S om Kvarntjärnen prioriterade fågelarter.docx", "S om Kvarntjärnen")</f>
        <v/>
      </c>
      <c r="AF23" t="inlineStr">
        <is>
          <t>Ser bra ut från vägen, bom öppen.</t>
        </is>
      </c>
      <c r="AG23" t="n">
        <v>10</v>
      </c>
      <c r="AH23" t="inlineStr">
        <is>
          <t>Sveaskog</t>
        </is>
      </c>
      <c r="AI23" t="inlineStr">
        <is>
          <t>Tis: Gr 2 (prio 3)</t>
        </is>
      </c>
      <c r="AJ23" t="n">
        <v/>
      </c>
    </row>
    <row r="24" ht="15" customHeight="1">
      <c r="A24" t="inlineStr">
        <is>
          <t>Maskaure Maddagielas S, 27 ha</t>
        </is>
      </c>
      <c r="B24" t="inlineStr">
        <is>
          <t>inventeringsområde</t>
        </is>
      </c>
      <c r="D24" s="1" t="n">
        <v>46223</v>
      </c>
      <c r="E24" s="1" t="n">
        <v>46227</v>
      </c>
      <c r="F24" t="inlineStr">
        <is>
          <t>Norrbottens län</t>
        </is>
      </c>
      <c r="G24" t="inlineStr">
        <is>
          <t>Arjeplog</t>
        </is>
      </c>
      <c r="H24" t="inlineStr">
        <is>
          <t>Sveaskog</t>
        </is>
      </c>
      <c r="I24" t="n">
        <v>26.3</v>
      </c>
      <c r="J24" t="n">
        <v>2</v>
      </c>
      <c r="K24" t="n">
        <v>1</v>
      </c>
      <c r="L24" t="n">
        <v>8</v>
      </c>
      <c r="M24" t="n">
        <v>1</v>
      </c>
      <c r="N24" t="n">
        <v>0</v>
      </c>
      <c r="O24" t="n">
        <v>0</v>
      </c>
      <c r="P24" t="n">
        <v>0</v>
      </c>
      <c r="Q24" t="n">
        <v>9</v>
      </c>
      <c r="R24" t="n">
        <v>1</v>
      </c>
      <c r="S24" t="n">
        <v>11</v>
      </c>
      <c r="T24" t="n">
        <v>55</v>
      </c>
      <c r="U24" t="n">
        <v>54</v>
      </c>
      <c r="V24" s="2" t="inlineStr">
        <is>
          <t>Garnlav
Gammelgransskål
Harticka
Knottrig blåslav
Lavskrika
Rosenticka
Talltagel
Tretåig hackspett
Ullticka
Vedticka
Grå renlav</t>
        </is>
      </c>
      <c r="W24">
        <f>HYPERLINK("https://klasma.github.io/Logging_FORSKNINGSRESAN_2026_ARJEPLOG/artfynd/Maskaure Maddagielas S, 27 ha artfynd.xlsx", "Maskaure Maddagielas S, 27 ha")</f>
        <v/>
      </c>
      <c r="X24">
        <f>HYPERLINK("https://klasma.github.io/Logging_FORSKNINGSRESAN_2026_ARJEPLOG/kartor/Maskaure Maddagielas S, 27 ha karta.png", "Maskaure Maddagielas S, 27 ha")</f>
        <v/>
      </c>
      <c r="Y24">
        <f>HYPERLINK("https://klasma.github.io/Logging_FORSKNINGSRESAN_2026_ARJEPLOG/kartor_geotiff/Maskaure Maddagielas S, 27 ha georefererad karta.tif", "Maskaure Maddagielas S, 27 ha")</f>
        <v/>
      </c>
      <c r="AA24">
        <f>HYPERLINK("https://klasma.github.io/Logging_FORSKNINGSRESAN_2026_ARJEPLOG/klagomål/Maskaure Maddagielas S, 27 ha FSC-klagomål.docx", "Maskaure Maddagielas S, 27 ha")</f>
        <v/>
      </c>
      <c r="AB24">
        <f>HYPERLINK("https://klasma.github.io/Logging_FORSKNINGSRESAN_2026_ARJEPLOG/klagomålsmail/Maskaure Maddagielas S, 27 ha FSC-klagomål mail.docx", "Maskaure Maddagielas S, 27 ha")</f>
        <v/>
      </c>
      <c r="AC24">
        <f>HYPERLINK("https://klasma.github.io/Logging_FORSKNINGSRESAN_2026_ARJEPLOG/tillsyn/Maskaure Maddagielas S, 27 ha tillsynsbegäran.docx", "Maskaure Maddagielas S, 27 ha")</f>
        <v/>
      </c>
      <c r="AD24">
        <f>HYPERLINK("https://klasma.github.io/Logging_FORSKNINGSRESAN_2026_ARJEPLOG/tillsynsmail/Maskaure Maddagielas S, 27 ha tillsynsbegäran mail.docx", "Maskaure Maddagielas S, 27 ha")</f>
        <v/>
      </c>
      <c r="AE24">
        <f>HYPERLINK("https://klasma.github.io/Logging_FORSKNINGSRESAN_2026_ARJEPLOG/fåglar/Maskaure Maddagielas S, 27 ha prioriterade fågelarter.docx", "Maskaure Maddagielas S, 27 ha")</f>
        <v/>
      </c>
      <c r="AF24" t="inlineStr">
        <is>
          <t>Samplaneringsområde</t>
        </is>
      </c>
      <c r="AG24" t="n">
        <v/>
      </c>
      <c r="AH24" t="inlineStr">
        <is>
          <t>Sveaskog</t>
        </is>
      </c>
      <c r="AI24" t="inlineStr">
        <is>
          <t>Ons: Gr 4</t>
        </is>
      </c>
      <c r="AJ24" t="n">
        <v/>
      </c>
    </row>
    <row r="25" ht="15" customHeight="1">
      <c r="A25" t="inlineStr">
        <is>
          <t>Ássjátj utv öster</t>
        </is>
      </c>
      <c r="B25" t="inlineStr">
        <is>
          <t>inventeringsområde</t>
        </is>
      </c>
      <c r="D25" s="1" t="n">
        <v>46223</v>
      </c>
      <c r="E25" s="1" t="n">
        <v>46227</v>
      </c>
      <c r="F25" t="inlineStr">
        <is>
          <t>Norrbottens län</t>
        </is>
      </c>
      <c r="G25" t="inlineStr">
        <is>
          <t>Arjeplog</t>
        </is>
      </c>
      <c r="H25" t="inlineStr">
        <is>
          <t>Övriga statliga verk och myndigheter</t>
        </is>
      </c>
      <c r="I25" t="n">
        <v>27.1</v>
      </c>
      <c r="J25" t="n">
        <v>0</v>
      </c>
      <c r="K25" t="n">
        <v>4</v>
      </c>
      <c r="L25" t="n">
        <v>6</v>
      </c>
      <c r="M25" t="n">
        <v>0</v>
      </c>
      <c r="N25" t="n">
        <v>0</v>
      </c>
      <c r="O25" t="n">
        <v>0</v>
      </c>
      <c r="P25" t="n">
        <v>0</v>
      </c>
      <c r="Q25" t="n">
        <v>6</v>
      </c>
      <c r="R25" t="n">
        <v>0</v>
      </c>
      <c r="S25" t="n">
        <v>10</v>
      </c>
      <c r="T25" t="n">
        <v>13</v>
      </c>
      <c r="U25" t="n">
        <v>0</v>
      </c>
      <c r="V25" s="2" t="inlineStr">
        <is>
          <t>Harticka
Kolflarnlav
Lunglav
Skrovellav
Ullticka
Vedskivlav
Bårdlav
Luddlav
Skinnlav
Ögonpyrola</t>
        </is>
      </c>
      <c r="W25">
        <f>HYPERLINK("https://klasma.github.io/Logging_FORSKNINGSRESAN_2026_ARJEPLOG/artfynd/Ássjátj utv öster artfynd.xlsx", "Ássjátj utv öster")</f>
        <v/>
      </c>
      <c r="X25">
        <f>HYPERLINK("https://klasma.github.io/Logging_FORSKNINGSRESAN_2026_ARJEPLOG/kartor/Ássjátj utv öster karta.png", "Ássjátj utv öster")</f>
        <v/>
      </c>
      <c r="Y25">
        <f>HYPERLINK("https://klasma.github.io/Logging_FORSKNINGSRESAN_2026_ARJEPLOG/kartor_geotiff/Ássjátj utv öster georefererad karta.tif", "Ássjátj utv öster")</f>
        <v/>
      </c>
      <c r="AA25">
        <f>HYPERLINK("https://klasma.github.io/Logging_FORSKNINGSRESAN_2026_ARJEPLOG/klagomål/Ássjátj utv öster FSC-klagomål.docx", "Ássjátj utv öster")</f>
        <v/>
      </c>
      <c r="AB25">
        <f>HYPERLINK("https://klasma.github.io/Logging_FORSKNINGSRESAN_2026_ARJEPLOG/klagomålsmail/Ássjátj utv öster FSC-klagomål mail.docx", "Ássjátj utv öster")</f>
        <v/>
      </c>
      <c r="AC25">
        <f>HYPERLINK("https://klasma.github.io/Logging_FORSKNINGSRESAN_2026_ARJEPLOG/tillsyn/Ássjátj utv öster tillsynsbegäran.docx", "Ássjátj utv öster")</f>
        <v/>
      </c>
      <c r="AD25">
        <f>HYPERLINK("https://klasma.github.io/Logging_FORSKNINGSRESAN_2026_ARJEPLOG/tillsynsmail/Ássjátj utv öster tillsynsbegäran mail.docx", "Ássjátj utv öster")</f>
        <v/>
      </c>
      <c r="AF25" t="inlineStr">
        <is>
          <t>ej inventerad del - gran??</t>
        </is>
      </c>
      <c r="AG25" t="n">
        <v>1</v>
      </c>
      <c r="AH25" t="inlineStr">
        <is>
          <t>SFV</t>
        </is>
      </c>
      <c r="AI25" t="n">
        <v/>
      </c>
      <c r="AJ25" t="n">
        <v/>
      </c>
    </row>
    <row r="26" ht="15" customHeight="1">
      <c r="A26" t="inlineStr">
        <is>
          <t>Ássjátj-udden</t>
        </is>
      </c>
      <c r="B26" t="inlineStr">
        <is>
          <t>inventeringsområde</t>
        </is>
      </c>
      <c r="D26" s="1" t="n">
        <v>46223</v>
      </c>
      <c r="E26" s="1" t="n">
        <v>46227</v>
      </c>
      <c r="F26" t="inlineStr">
        <is>
          <t>Norrbottens län</t>
        </is>
      </c>
      <c r="G26" t="inlineStr">
        <is>
          <t>Arjeplog</t>
        </is>
      </c>
      <c r="I26" t="n">
        <v>53.2</v>
      </c>
      <c r="J26" t="n">
        <v>2</v>
      </c>
      <c r="K26" t="n">
        <v>1</v>
      </c>
      <c r="L26" t="n">
        <v>6</v>
      </c>
      <c r="M26" t="n">
        <v>2</v>
      </c>
      <c r="N26" t="n">
        <v>0</v>
      </c>
      <c r="O26" t="n">
        <v>0</v>
      </c>
      <c r="P26" t="n">
        <v>0</v>
      </c>
      <c r="Q26" t="n">
        <v>8</v>
      </c>
      <c r="R26" t="n">
        <v>2</v>
      </c>
      <c r="S26" t="n">
        <v>9</v>
      </c>
      <c r="T26" t="n">
        <v>10</v>
      </c>
      <c r="U26" t="n">
        <v>0</v>
      </c>
      <c r="V26" s="2" t="inlineStr">
        <is>
          <t>Kristallticka
Ostticka
Gammelgransskål
Rosenticka
Tretåig hackspett
Ullticka
Violettgrå tagellav
Vitgrynig nållav
Spindelblomster</t>
        </is>
      </c>
      <c r="W26">
        <f>HYPERLINK("https://klasma.github.io/Logging_FORSKNINGSRESAN_2026_ARJEPLOG/artfynd/Ássjátj-udden artfynd.xlsx", "Ássjátj-udden")</f>
        <v/>
      </c>
      <c r="X26">
        <f>HYPERLINK("https://klasma.github.io/Logging_FORSKNINGSRESAN_2026_ARJEPLOG/kartor/Ássjátj-udden karta.png", "Ássjátj-udden")</f>
        <v/>
      </c>
      <c r="Y26">
        <f>HYPERLINK("https://klasma.github.io/Logging_FORSKNINGSRESAN_2026_ARJEPLOG/kartor_geotiff/Ássjátj-udden georefererad karta.tif", "Ássjátj-udden")</f>
        <v/>
      </c>
      <c r="AA26">
        <f>HYPERLINK("https://klasma.github.io/Logging_FORSKNINGSRESAN_2026_ARJEPLOG/klagomål/Ássjátj-udden FSC-klagomål.docx", "Ássjátj-udden")</f>
        <v/>
      </c>
      <c r="AB26">
        <f>HYPERLINK("https://klasma.github.io/Logging_FORSKNINGSRESAN_2026_ARJEPLOG/klagomålsmail/Ássjátj-udden FSC-klagomål mail.docx", "Ássjátj-udden")</f>
        <v/>
      </c>
      <c r="AC26">
        <f>HYPERLINK("https://klasma.github.io/Logging_FORSKNINGSRESAN_2026_ARJEPLOG/tillsyn/Ássjátj-udden tillsynsbegäran.docx", "Ássjátj-udden")</f>
        <v/>
      </c>
      <c r="AD26">
        <f>HYPERLINK("https://klasma.github.io/Logging_FORSKNINGSRESAN_2026_ARJEPLOG/tillsynsmail/Ássjátj-udden tillsynsbegäran mail.docx", "Ássjátj-udden")</f>
        <v/>
      </c>
      <c r="AE26">
        <f>HYPERLINK("https://klasma.github.io/Logging_FORSKNINGSRESAN_2026_ARJEPLOG/fåglar/Ássjátj-udden prioriterade fågelarter.docx", "Ássjátj-udden")</f>
        <v/>
      </c>
      <c r="AF26" t="inlineStr">
        <is>
          <t>stavatallskog med överståndare, för lite död ved? oinventerad (jmf greensway norrut)</t>
        </is>
      </c>
      <c r="AG26" t="n">
        <v/>
      </c>
      <c r="AH26" t="inlineStr">
        <is>
          <t>Mestadels privat</t>
        </is>
      </c>
      <c r="AI26" t="n">
        <v/>
      </c>
      <c r="AJ26" t="n">
        <v/>
      </c>
    </row>
    <row r="27" ht="15" customHeight="1">
      <c r="A27" t="inlineStr">
        <is>
          <t>Iksjak-Råssnesudden</t>
        </is>
      </c>
      <c r="B27" t="inlineStr">
        <is>
          <t>inventeringsområde</t>
        </is>
      </c>
      <c r="D27" s="1" t="n">
        <v>46223</v>
      </c>
      <c r="E27" s="1" t="n">
        <v>46227</v>
      </c>
      <c r="F27" t="inlineStr">
        <is>
          <t>Norrbottens län</t>
        </is>
      </c>
      <c r="G27" t="inlineStr">
        <is>
          <t>Arjeplog</t>
        </is>
      </c>
      <c r="H27" t="inlineStr">
        <is>
          <t>Övriga statliga verk och myndigheter</t>
        </is>
      </c>
      <c r="I27" t="n">
        <v>676.5</v>
      </c>
      <c r="J27" t="n">
        <v>0</v>
      </c>
      <c r="K27" t="n">
        <v>2</v>
      </c>
      <c r="L27" t="n">
        <v>4</v>
      </c>
      <c r="M27" t="n">
        <v>2</v>
      </c>
      <c r="N27" t="n">
        <v>0</v>
      </c>
      <c r="O27" t="n">
        <v>0</v>
      </c>
      <c r="P27" t="n">
        <v>0</v>
      </c>
      <c r="Q27" t="n">
        <v>6</v>
      </c>
      <c r="R27" t="n">
        <v>2</v>
      </c>
      <c r="S27" t="n">
        <v>8</v>
      </c>
      <c r="T27" t="n">
        <v>14</v>
      </c>
      <c r="U27" t="n">
        <v>0</v>
      </c>
      <c r="V27" s="2" t="inlineStr">
        <is>
          <t>Fläckporing
Gräddporing
Blanksvart spiklav
Dvärgbägarlav
Knottrig blåslav
Vitplätt
Stuplav
Ögonpyrola</t>
        </is>
      </c>
      <c r="W27">
        <f>HYPERLINK("https://klasma.github.io/Logging_FORSKNINGSRESAN_2026_ARJEPLOG/artfynd/Iksjak-Råssnesudden artfynd.xlsx", "Iksjak-Råssnesudden")</f>
        <v/>
      </c>
      <c r="X27">
        <f>HYPERLINK("https://klasma.github.io/Logging_FORSKNINGSRESAN_2026_ARJEPLOG/kartor/Iksjak-Råssnesudden karta.png", "Iksjak-Råssnesudden")</f>
        <v/>
      </c>
      <c r="Y27">
        <f>HYPERLINK("https://klasma.github.io/Logging_FORSKNINGSRESAN_2026_ARJEPLOG/kartor_geotiff/Iksjak-Råssnesudden georefererad karta.tif", "Iksjak-Råssnesudden")</f>
        <v/>
      </c>
      <c r="AA27">
        <f>HYPERLINK("https://klasma.github.io/Logging_FORSKNINGSRESAN_2026_ARJEPLOG/klagomål/Iksjak-Råssnesudden FSC-klagomål.docx", "Iksjak-Råssnesudden")</f>
        <v/>
      </c>
      <c r="AB27">
        <f>HYPERLINK("https://klasma.github.io/Logging_FORSKNINGSRESAN_2026_ARJEPLOG/klagomålsmail/Iksjak-Råssnesudden FSC-klagomål mail.docx", "Iksjak-Råssnesudden")</f>
        <v/>
      </c>
      <c r="AC27">
        <f>HYPERLINK("https://klasma.github.io/Logging_FORSKNINGSRESAN_2026_ARJEPLOG/tillsyn/Iksjak-Råssnesudden tillsynsbegäran.docx", "Iksjak-Råssnesudden")</f>
        <v/>
      </c>
      <c r="AD27">
        <f>HYPERLINK("https://klasma.github.io/Logging_FORSKNINGSRESAN_2026_ARJEPLOG/tillsynsmail/Iksjak-Råssnesudden tillsynsbegäran mail.docx", "Iksjak-Råssnesudden")</f>
        <v/>
      </c>
      <c r="AF27" t="inlineStr">
        <is>
          <t>Obruten skog. 80-90 % genomgallrat. Finast längst kanterna. Finns stor parkering vid vägen.</t>
        </is>
      </c>
      <c r="AG27" t="n">
        <v>1</v>
      </c>
      <c r="AH27" t="inlineStr">
        <is>
          <t>Övriga statliga verk och myndigheter</t>
        </is>
      </c>
      <c r="AI27" t="n">
        <v/>
      </c>
      <c r="AJ27" t="n">
        <v/>
      </c>
    </row>
    <row r="28" ht="15" customHeight="1">
      <c r="A28" t="inlineStr">
        <is>
          <t>Muörkienåjvvie</t>
        </is>
      </c>
      <c r="B28" t="inlineStr">
        <is>
          <t>inventeringsområde</t>
        </is>
      </c>
      <c r="D28" s="1" t="n">
        <v>46223</v>
      </c>
      <c r="E28" s="1" t="n">
        <v>46227</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46227</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46227</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46227</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46227</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46227</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46227</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2026-07-24T03:53:37Z</dcterms:created>
  <dcterms:modified xmlns:dcterms="http://purl.org/dc/terms/" xmlns:xsi="http://www.w3.org/2001/XMLSchema-instance" xsi:type="dcterms:W3CDTF">2026-07-24T03:53:37Z</dcterms:modified>
</cp:coreProperties>
</file>