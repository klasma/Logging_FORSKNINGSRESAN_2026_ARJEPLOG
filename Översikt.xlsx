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Muorkenåive-Ássjátj N</t>
        </is>
      </c>
      <c r="B8" t="inlineStr">
        <is>
          <t>inventeringsområde</t>
        </is>
      </c>
      <c r="D8" s="1" t="n">
        <v>46223</v>
      </c>
      <c r="E8" s="1" t="n">
        <v>46226</v>
      </c>
      <c r="F8" t="inlineStr">
        <is>
          <t>Norrbottens län</t>
        </is>
      </c>
      <c r="G8" t="inlineStr">
        <is>
          <t>Arjeplog</t>
        </is>
      </c>
      <c r="I8" t="n">
        <v>111.8</v>
      </c>
      <c r="J8" t="n">
        <v>4</v>
      </c>
      <c r="K8" t="n">
        <v>6</v>
      </c>
      <c r="L8" t="n">
        <v>16</v>
      </c>
      <c r="M8" t="n">
        <v>7</v>
      </c>
      <c r="N8" t="n">
        <v>0</v>
      </c>
      <c r="O8" t="n">
        <v>0</v>
      </c>
      <c r="P8" t="n">
        <v>0</v>
      </c>
      <c r="Q8" t="n">
        <v>23</v>
      </c>
      <c r="R8" t="n">
        <v>7</v>
      </c>
      <c r="S8" t="n">
        <v>31</v>
      </c>
      <c r="T8" t="n">
        <v>85</v>
      </c>
      <c r="U8" t="n">
        <v>85</v>
      </c>
      <c r="V8" s="2" t="inlineStr">
        <is>
          <t>Garnlav
Grantickeporing
Grenlav
Gränsticka
Lecidea subhumida
Ostticka
Vitskaftad svartspik
Blanksvart spiklav
Blågrå svartspik
Dvärgbägarlav
Gammelgransskål
Harticka
Knottrig blåslav
Lavskrika
Liten svartspik
Rosenticka
Rostania pallida
Skrovellav
Stjärntagging
Tretåig hackspett
Ullticka
Vedskivlav
Vitgrynig nållav
Bårdlav
Gulnål
Korallrot
Luddlav
Stuplav
Vedticka
Brudborste
Tjäder</t>
        </is>
      </c>
      <c r="W8">
        <f>HYPERLINK("https://klasma.github.io/Logging_FORSKNINGSRESAN_2026_ARJEPLOG/artfynd/Muorkenåive-Ássjátj N artfynd.xlsx", "Muorkenåive-Ássjátj N")</f>
        <v/>
      </c>
      <c r="X8">
        <f>HYPERLINK("https://klasma.github.io/Logging_FORSKNINGSRESAN_2026_ARJEPLOG/kartor/Muorkenåive-Ássjátj N karta.png", "Muorkenåive-Ássjátj N")</f>
        <v/>
      </c>
      <c r="Y8">
        <f>HYPERLINK("https://klasma.github.io/Logging_FORSKNINGSRESAN_2026_ARJEPLOG/kartor_geotiff/Muorkenåive-Ássjátj N georefererad karta.tif", "Muorkenåive-Ássjátj N")</f>
        <v/>
      </c>
      <c r="AA8">
        <f>HYPERLINK("https://klasma.github.io/Logging_FORSKNINGSRESAN_2026_ARJEPLOG/klagomål/Muorkenåive-Ássjátj N FSC-klagomål.docx", "Muorkenåive-Ássjátj N")</f>
        <v/>
      </c>
      <c r="AB8">
        <f>HYPERLINK("https://klasma.github.io/Logging_FORSKNINGSRESAN_2026_ARJEPLOG/klagomålsmail/Muorkenåive-Ássjátj N FSC-klagomål mail.docx", "Muorkenåive-Ássjátj N")</f>
        <v/>
      </c>
      <c r="AC8">
        <f>HYPERLINK("https://klasma.github.io/Logging_FORSKNINGSRESAN_2026_ARJEPLOG/tillsyn/Muorkenåive-Ássjátj N tillsynsbegäran.docx", "Muorkenåive-Ássjátj N")</f>
        <v/>
      </c>
      <c r="AD8">
        <f>HYPERLINK("https://klasma.github.io/Logging_FORSKNINGSRESAN_2026_ARJEPLOG/tillsynsmail/Muorkenåive-Ássjátj N tillsynsbegäran mail.docx", "Muorkenåive-Ássjátj N")</f>
        <v/>
      </c>
      <c r="AE8">
        <f>HYPERLINK("https://klasma.github.io/Logging_FORSKNINGSRESAN_2026_ARJEPLOG/fåglar/Muorkenåive-Ássjátj N prioriterade fågelarter.docx", "Muorkenåive-Ássjátj N")</f>
        <v/>
      </c>
      <c r="AF8" t="inlineStr">
        <is>
          <t>Slagit samman Muorkenåive-privat med Assjatj-privat (lilla) till ett objekt efter fältgenomgång. /FF Behöver inte finkamma, men bra att få in några fynd. kommer avvanm hela tiden.</t>
        </is>
      </c>
      <c r="AG8" t="n">
        <v>1</v>
      </c>
      <c r="AH8" t="inlineStr">
        <is>
          <t>Privat</t>
        </is>
      </c>
      <c r="AI8" t="inlineStr">
        <is>
          <t>Dag Gran: Gr 2</t>
        </is>
      </c>
      <c r="AJ8" t="n">
        <v/>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Njuöniesvárrie NV avvanm</t>
        </is>
      </c>
      <c r="B12" t="inlineStr">
        <is>
          <t>inventeringsområde</t>
        </is>
      </c>
      <c r="D12" s="1" t="n">
        <v>46223</v>
      </c>
      <c r="E12" s="1" t="n">
        <v>46226</v>
      </c>
      <c r="F12" t="inlineStr">
        <is>
          <t>Norrbottens län</t>
        </is>
      </c>
      <c r="G12" t="inlineStr">
        <is>
          <t>Arjeplog</t>
        </is>
      </c>
      <c r="H12" t="inlineStr">
        <is>
          <t>Allmännings- och besparingsskogar</t>
        </is>
      </c>
      <c r="I12" t="n">
        <v>39.8</v>
      </c>
      <c r="J12" t="n">
        <v>4</v>
      </c>
      <c r="K12" t="n">
        <v>3</v>
      </c>
      <c r="L12" t="n">
        <v>13</v>
      </c>
      <c r="M12" t="n">
        <v>5</v>
      </c>
      <c r="N12" t="n">
        <v>1</v>
      </c>
      <c r="O12" t="n">
        <v>0</v>
      </c>
      <c r="P12" t="n">
        <v>0</v>
      </c>
      <c r="Q12" t="n">
        <v>19</v>
      </c>
      <c r="R12" t="n">
        <v>6</v>
      </c>
      <c r="S12" t="n">
        <v>23</v>
      </c>
      <c r="T12" t="n">
        <v>73</v>
      </c>
      <c r="U12" t="n">
        <v>73</v>
      </c>
      <c r="V1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2">
        <f>HYPERLINK("https://klasma.github.io/Logging_FORSKNINGSRESAN_2026_ARJEPLOG/artfynd/Njuöniesvárrie NV avvanm artfynd.xlsx", "Njuöniesvárrie NV avvanm")</f>
        <v/>
      </c>
      <c r="X12">
        <f>HYPERLINK("https://klasma.github.io/Logging_FORSKNINGSRESAN_2026_ARJEPLOG/kartor/Njuöniesvárrie NV avvanm karta.png", "Njuöniesvárrie NV avvanm")</f>
        <v/>
      </c>
      <c r="Y12">
        <f>HYPERLINK("https://klasma.github.io/Logging_FORSKNINGSRESAN_2026_ARJEPLOG/kartor_geotiff/Njuöniesvárrie NV avvanm georefererad karta.tif", "Njuöniesvárrie NV avvanm")</f>
        <v/>
      </c>
      <c r="Z12">
        <f>HYPERLINK("https://klasma.github.io/Logging_FORSKNINGSRESAN_2026_ARJEPLOG/knärot/Njuöniesvárrie NV avvanm karta knärot.png", "Njuöniesvárrie NV avvanm")</f>
        <v/>
      </c>
      <c r="AA12">
        <f>HYPERLINK("https://klasma.github.io/Logging_FORSKNINGSRESAN_2026_ARJEPLOG/klagomål/Njuöniesvárrie NV avvanm FSC-klagomål.docx", "Njuöniesvárrie NV avvanm")</f>
        <v/>
      </c>
      <c r="AB12">
        <f>HYPERLINK("https://klasma.github.io/Logging_FORSKNINGSRESAN_2026_ARJEPLOG/klagomålsmail/Njuöniesvárrie NV avvanm FSC-klagomål mail.docx", "Njuöniesvárrie NV avvanm")</f>
        <v/>
      </c>
      <c r="AC12">
        <f>HYPERLINK("https://klasma.github.io/Logging_FORSKNINGSRESAN_2026_ARJEPLOG/tillsyn/Njuöniesvárrie NV avvanm tillsynsbegäran.docx", "Njuöniesvárrie NV avvanm")</f>
        <v/>
      </c>
      <c r="AD12">
        <f>HYPERLINK("https://klasma.github.io/Logging_FORSKNINGSRESAN_2026_ARJEPLOG/tillsynsmail/Njuöniesvárrie NV avvanm tillsynsbegäran mail.docx", "Njuöniesvárrie NV avvanm")</f>
        <v/>
      </c>
      <c r="AE12">
        <f>HYPERLINK("https://klasma.github.io/Logging_FORSKNINGSRESAN_2026_ARJEPLOG/fåglar/Njuöniesvárrie NV avvanm prioriterade fågelarter.docx", "Njuöniesvárrie NV avvanm")</f>
        <v/>
      </c>
      <c r="AF12" t="inlineStr">
        <is>
          <t>Barrblandskog, eventuellt bom!! avvanm</t>
        </is>
      </c>
      <c r="AG12" t="n">
        <v>1</v>
      </c>
      <c r="AH12" t="inlineStr">
        <is>
          <t>Allmännings- och besparingsskogar</t>
        </is>
      </c>
      <c r="AI12" t="n">
        <v/>
      </c>
      <c r="AJ12" t="n">
        <v/>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7</v>
      </c>
      <c r="N13" t="n">
        <v>0</v>
      </c>
      <c r="O13" t="n">
        <v>1</v>
      </c>
      <c r="P13" t="n">
        <v>0</v>
      </c>
      <c r="Q13" t="n">
        <v>20</v>
      </c>
      <c r="R13" t="n">
        <v>8</v>
      </c>
      <c r="S13" t="n">
        <v>23</v>
      </c>
      <c r="T13" t="n">
        <v>79</v>
      </c>
      <c r="U13" t="n">
        <v>47</v>
      </c>
      <c r="V13"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16</v>
      </c>
      <c r="U20" t="n">
        <v>4</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2026-07-23T15:03:07Z</dcterms:created>
  <dcterms:modified xmlns:dcterms="http://purl.org/dc/terms/" xmlns:xsi="http://www.w3.org/2001/XMLSchema-instance" xsi:type="dcterms:W3CDTF">2026-07-23T15:03:07Z</dcterms:modified>
</cp:coreProperties>
</file>