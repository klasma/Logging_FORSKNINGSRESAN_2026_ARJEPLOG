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10</v>
      </c>
      <c r="K2" t="n">
        <v>13</v>
      </c>
      <c r="L2" t="n">
        <v>27</v>
      </c>
      <c r="M2" t="n">
        <v>13</v>
      </c>
      <c r="N2" t="n">
        <v>0</v>
      </c>
      <c r="O2" t="n">
        <v>0</v>
      </c>
      <c r="P2" t="n">
        <v>0</v>
      </c>
      <c r="Q2" t="n">
        <v>40</v>
      </c>
      <c r="R2" t="n">
        <v>13</v>
      </c>
      <c r="S2" t="n">
        <v>66</v>
      </c>
      <c r="T2" t="n">
        <v>358</v>
      </c>
      <c r="U2" t="n">
        <v>358</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Oljetagging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46227</v>
      </c>
      <c r="F3" t="inlineStr">
        <is>
          <t>Norrbottens län</t>
        </is>
      </c>
      <c r="G3" t="inlineStr">
        <is>
          <t>Arjeplog</t>
        </is>
      </c>
      <c r="H3" t="inlineStr">
        <is>
          <t>Övriga statliga verk och myndigheter</t>
        </is>
      </c>
      <c r="I3" t="n">
        <v>119.1</v>
      </c>
      <c r="J3" t="n">
        <v>13</v>
      </c>
      <c r="K3" t="n">
        <v>11</v>
      </c>
      <c r="L3" t="n">
        <v>18</v>
      </c>
      <c r="M3" t="n">
        <v>9</v>
      </c>
      <c r="N3" t="n">
        <v>0</v>
      </c>
      <c r="O3" t="n">
        <v>0</v>
      </c>
      <c r="P3" t="n">
        <v>0</v>
      </c>
      <c r="Q3" t="n">
        <v>27</v>
      </c>
      <c r="R3" t="n">
        <v>9</v>
      </c>
      <c r="S3" t="n">
        <v>51</v>
      </c>
      <c r="T3" t="n">
        <v>372</v>
      </c>
      <c r="U3" t="n">
        <v>336</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46227</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46227</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46227</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46227</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192</v>
      </c>
      <c r="U7" t="n">
        <v>189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46227</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Svanvik SO avvanm</t>
        </is>
      </c>
      <c r="B9" t="inlineStr">
        <is>
          <t>inventeringsområde</t>
        </is>
      </c>
      <c r="D9" s="1" t="n">
        <v>46223</v>
      </c>
      <c r="E9" s="1" t="n">
        <v>46227</v>
      </c>
      <c r="F9" t="inlineStr">
        <is>
          <t>Norrbottens län</t>
        </is>
      </c>
      <c r="G9" t="inlineStr">
        <is>
          <t>Arjeplog</t>
        </is>
      </c>
      <c r="I9" t="n">
        <v>12.9</v>
      </c>
      <c r="J9" t="n">
        <v>8</v>
      </c>
      <c r="K9" t="n">
        <v>11</v>
      </c>
      <c r="L9" t="n">
        <v>15</v>
      </c>
      <c r="M9" t="n">
        <v>8</v>
      </c>
      <c r="N9" t="n">
        <v>0</v>
      </c>
      <c r="O9" t="n">
        <v>0</v>
      </c>
      <c r="P9" t="n">
        <v>0</v>
      </c>
      <c r="Q9" t="n">
        <v>23</v>
      </c>
      <c r="R9" t="n">
        <v>8</v>
      </c>
      <c r="S9" t="n">
        <v>36</v>
      </c>
      <c r="T9" t="n">
        <v>254</v>
      </c>
      <c r="U9" t="n">
        <v>254</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9">
        <f>HYPERLINK("https://klasma.github.io/Logging_FORSKNINGSRESAN_2026_ARJEPLOG/artfynd/Svanvik SO avvanm artfynd.xlsx", "Svanvik SO avvanm")</f>
        <v/>
      </c>
      <c r="X9">
        <f>HYPERLINK("https://klasma.github.io/Logging_FORSKNINGSRESAN_2026_ARJEPLOG/kartor/Svanvik SO avvanm karta.png", "Svanvik SO avvanm")</f>
        <v/>
      </c>
      <c r="Y9">
        <f>HYPERLINK("https://klasma.github.io/Logging_FORSKNINGSRESAN_2026_ARJEPLOG/kartor_geotiff/Svanvik SO avvanm georefererad karta.tif", "Svanvik SO avvanm")</f>
        <v/>
      </c>
      <c r="Z9">
        <f>HYPERLINK("https://klasma.github.io/Logging_FORSKNINGSRESAN_2026_ARJEPLOG/knärot/Svanvik SO avvanm karta knärot.png", "Svanvik SO avvanm")</f>
        <v/>
      </c>
      <c r="AA9">
        <f>HYPERLINK("https://klasma.github.io/Logging_FORSKNINGSRESAN_2026_ARJEPLOG/klagomål/Svanvik SO avvanm FSC-klagomål.docx", "Svanvik SO avvanm")</f>
        <v/>
      </c>
      <c r="AB9">
        <f>HYPERLINK("https://klasma.github.io/Logging_FORSKNINGSRESAN_2026_ARJEPLOG/klagomålsmail/Svanvik SO avvanm FSC-klagomål mail.docx", "Svanvik SO avvanm")</f>
        <v/>
      </c>
      <c r="AC9">
        <f>HYPERLINK("https://klasma.github.io/Logging_FORSKNINGSRESAN_2026_ARJEPLOG/tillsyn/Svanvik SO avvanm tillsynsbegäran.docx", "Svanvik SO avvanm")</f>
        <v/>
      </c>
      <c r="AD9">
        <f>HYPERLINK("https://klasma.github.io/Logging_FORSKNINGSRESAN_2026_ARJEPLOG/tillsynsmail/Svanvik SO avvanm tillsynsbegäran mail.docx", "Svanvik SO avvanm")</f>
        <v/>
      </c>
      <c r="AE9">
        <f>HYPERLINK("https://klasma.github.io/Logging_FORSKNINGSRESAN_2026_ARJEPLOG/fåglar/Svanvik SO avvanm prioriterade fågelarter.docx", "Svanvik SO avvanm")</f>
        <v/>
      </c>
      <c r="AF9" t="inlineStr">
        <is>
          <t>Grannaturskog</t>
        </is>
      </c>
      <c r="AG9" t="n">
        <v>1</v>
      </c>
      <c r="AH9" t="inlineStr">
        <is>
          <t>Privat</t>
        </is>
      </c>
      <c r="AI9" t="inlineStr">
        <is>
          <t>Dag Gran: Gr 1 (prio 1)</t>
        </is>
      </c>
      <c r="AJ9" t="n">
        <v/>
      </c>
    </row>
    <row r="10" ht="15" customHeight="1">
      <c r="A10" t="inlineStr">
        <is>
          <t>Maskaure Skornjamyran avvanm, 11,2 ha</t>
        </is>
      </c>
      <c r="B10" t="inlineStr">
        <is>
          <t>inventeringsområde</t>
        </is>
      </c>
      <c r="D10" s="1" t="n">
        <v>46223</v>
      </c>
      <c r="E10" s="1" t="n">
        <v>46227</v>
      </c>
      <c r="F10" t="inlineStr">
        <is>
          <t>Norrbottens län</t>
        </is>
      </c>
      <c r="G10" t="inlineStr">
        <is>
          <t>Arjeplog</t>
        </is>
      </c>
      <c r="I10" t="n">
        <v>11.2</v>
      </c>
      <c r="J10" t="n">
        <v>4</v>
      </c>
      <c r="K10" t="n">
        <v>6</v>
      </c>
      <c r="L10" t="n">
        <v>18</v>
      </c>
      <c r="M10" t="n">
        <v>8</v>
      </c>
      <c r="N10" t="n">
        <v>0</v>
      </c>
      <c r="O10" t="n">
        <v>0</v>
      </c>
      <c r="P10" t="n">
        <v>0</v>
      </c>
      <c r="Q10" t="n">
        <v>26</v>
      </c>
      <c r="R10" t="n">
        <v>8</v>
      </c>
      <c r="S10" t="n">
        <v>33</v>
      </c>
      <c r="T10" t="n">
        <v>133</v>
      </c>
      <c r="U10" t="n">
        <v>133</v>
      </c>
      <c r="V10"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0">
        <f>HYPERLINK("https://klasma.github.io/Logging_FORSKNINGSRESAN_2026_ARJEPLOG/artfynd/Maskaure Skornjamyran avvanm, 11,2 ha artfynd.xlsx", "Maskaure Skornjamyran avvanm, 11,2 ha")</f>
        <v/>
      </c>
      <c r="X10">
        <f>HYPERLINK("https://klasma.github.io/Logging_FORSKNINGSRESAN_2026_ARJEPLOG/kartor/Maskaure Skornjamyran avvanm, 11,2 ha karta.png", "Maskaure Skornjamyran avvanm, 11,2 ha")</f>
        <v/>
      </c>
      <c r="Y10">
        <f>HYPERLINK("https://klasma.github.io/Logging_FORSKNINGSRESAN_2026_ARJEPLOG/kartor_geotiff/Maskaure Skornjamyran avvanm, 11,2 ha georefererad karta.tif", "Maskaure Skornjamyran avvanm, 11,2 ha")</f>
        <v/>
      </c>
      <c r="AA10">
        <f>HYPERLINK("https://klasma.github.io/Logging_FORSKNINGSRESAN_2026_ARJEPLOG/klagomål/Maskaure Skornjamyran avvanm, 11,2 ha FSC-klagomål.docx", "Maskaure Skornjamyran avvanm, 11,2 ha")</f>
        <v/>
      </c>
      <c r="AB10">
        <f>HYPERLINK("https://klasma.github.io/Logging_FORSKNINGSRESAN_2026_ARJEPLOG/klagomålsmail/Maskaure Skornjamyran avvanm, 11,2 ha FSC-klagomål mail.docx", "Maskaure Skornjamyran avvanm, 11,2 ha")</f>
        <v/>
      </c>
      <c r="AC10">
        <f>HYPERLINK("https://klasma.github.io/Logging_FORSKNINGSRESAN_2026_ARJEPLOG/tillsyn/Maskaure Skornjamyran avvanm, 11,2 ha tillsynsbegäran.docx", "Maskaure Skornjamyran avvanm, 11,2 ha")</f>
        <v/>
      </c>
      <c r="AD10">
        <f>HYPERLINK("https://klasma.github.io/Logging_FORSKNINGSRESAN_2026_ARJEPLOG/tillsynsmail/Maskaure Skornjamyran avvanm, 11,2 ha tillsynsbegäran mail.docx", "Maskaure Skornjamyran avvanm, 11,2 ha")</f>
        <v/>
      </c>
      <c r="AE10">
        <f>HYPERLINK("https://klasma.github.io/Logging_FORSKNINGSRESAN_2026_ARJEPLOG/fåglar/Maskaure Skornjamyran avvanm, 11,2 ha prioriterade fågelarter.docx", "Maskaure Skornjamyran avvanm, 11,2 ha")</f>
        <v/>
      </c>
      <c r="AF10" t="inlineStr">
        <is>
          <t>mest gran, nyckelbiotop, avvanm</t>
        </is>
      </c>
      <c r="AG10" t="n">
        <v>1</v>
      </c>
      <c r="AH10" t="inlineStr">
        <is>
          <t>Privat</t>
        </is>
      </c>
      <c r="AI10" t="inlineStr">
        <is>
          <t>Ons: Gr 3</t>
        </is>
      </c>
      <c r="AJ10" t="inlineStr">
        <is>
          <t>A 45924-2023</t>
        </is>
      </c>
    </row>
    <row r="11" ht="15" customHeight="1">
      <c r="A11" t="inlineStr">
        <is>
          <t>Maskaure Tsågávrrie avvanm, 17,8 ha</t>
        </is>
      </c>
      <c r="B11" t="inlineStr">
        <is>
          <t>inventeringsområde</t>
        </is>
      </c>
      <c r="D11" s="1" t="n">
        <v>46223</v>
      </c>
      <c r="E11" s="1" t="n">
        <v>46227</v>
      </c>
      <c r="F11" t="inlineStr">
        <is>
          <t>Norrbottens län</t>
        </is>
      </c>
      <c r="G11" t="inlineStr">
        <is>
          <t>Arjeplog</t>
        </is>
      </c>
      <c r="I11" t="n">
        <v>17.8</v>
      </c>
      <c r="J11" t="n">
        <v>7</v>
      </c>
      <c r="K11" t="n">
        <v>10</v>
      </c>
      <c r="L11" t="n">
        <v>17</v>
      </c>
      <c r="M11" t="n">
        <v>3</v>
      </c>
      <c r="N11" t="n">
        <v>0</v>
      </c>
      <c r="O11" t="n">
        <v>0</v>
      </c>
      <c r="P11" t="n">
        <v>0</v>
      </c>
      <c r="Q11" t="n">
        <v>20</v>
      </c>
      <c r="R11" t="n">
        <v>3</v>
      </c>
      <c r="S11" t="n">
        <v>33</v>
      </c>
      <c r="T11" t="n">
        <v>100</v>
      </c>
      <c r="U11" t="n">
        <v>100</v>
      </c>
      <c r="V11"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1">
        <f>HYPERLINK("https://klasma.github.io/Logging_FORSKNINGSRESAN_2026_ARJEPLOG/artfynd/Maskaure Tsågávrrie avvanm, 17,8 ha artfynd.xlsx", "Maskaure Tsågávrrie avvanm, 17,8 ha")</f>
        <v/>
      </c>
      <c r="X11">
        <f>HYPERLINK("https://klasma.github.io/Logging_FORSKNINGSRESAN_2026_ARJEPLOG/kartor/Maskaure Tsågávrrie avvanm, 17,8 ha karta.png", "Maskaure Tsågávrrie avvanm, 17,8 ha")</f>
        <v/>
      </c>
      <c r="Y11">
        <f>HYPERLINK("https://klasma.github.io/Logging_FORSKNINGSRESAN_2026_ARJEPLOG/kartor_geotiff/Maskaure Tsågávrrie avvanm, 17,8 ha georefererad karta.tif", "Maskaure Tsågávrrie avvanm, 17,8 ha")</f>
        <v/>
      </c>
      <c r="AA11">
        <f>HYPERLINK("https://klasma.github.io/Logging_FORSKNINGSRESAN_2026_ARJEPLOG/klagomål/Maskaure Tsågávrrie avvanm, 17,8 ha FSC-klagomål.docx", "Maskaure Tsågávrrie avvanm, 17,8 ha")</f>
        <v/>
      </c>
      <c r="AB11">
        <f>HYPERLINK("https://klasma.github.io/Logging_FORSKNINGSRESAN_2026_ARJEPLOG/klagomålsmail/Maskaure Tsågávrrie avvanm, 17,8 ha FSC-klagomål mail.docx", "Maskaure Tsågávrrie avvanm, 17,8 ha")</f>
        <v/>
      </c>
      <c r="AC11">
        <f>HYPERLINK("https://klasma.github.io/Logging_FORSKNINGSRESAN_2026_ARJEPLOG/tillsyn/Maskaure Tsågávrrie avvanm, 17,8 ha tillsynsbegäran.docx", "Maskaure Tsågávrrie avvanm, 17,8 ha")</f>
        <v/>
      </c>
      <c r="AD11">
        <f>HYPERLINK("https://klasma.github.io/Logging_FORSKNINGSRESAN_2026_ARJEPLOG/tillsynsmail/Maskaure Tsågávrrie avvanm, 17,8 ha tillsynsbegäran mail.docx", "Maskaure Tsågávrrie avvanm, 17,8 ha")</f>
        <v/>
      </c>
      <c r="AE11">
        <f>HYPERLINK("https://klasma.github.io/Logging_FORSKNINGSRESAN_2026_ARJEPLOG/fåglar/Maskaure Tsågávrrie avvanm, 17,8 ha prioriterade fågelarter.docx", "Maskaure Tsågávrrie avvanm, 17,8 ha")</f>
        <v/>
      </c>
      <c r="AF11" t="inlineStr">
        <is>
          <t>avvanm</t>
        </is>
      </c>
      <c r="AG11" t="n">
        <v>1</v>
      </c>
      <c r="AH11" t="inlineStr">
        <is>
          <t>Privat</t>
        </is>
      </c>
      <c r="AI11" t="inlineStr">
        <is>
          <t>Ons: Gr 2 (prio 3)</t>
        </is>
      </c>
      <c r="AJ11" t="inlineStr">
        <is>
          <t>A 64809-2023</t>
        </is>
      </c>
    </row>
    <row r="12" ht="15" customHeight="1">
      <c r="A12" t="inlineStr">
        <is>
          <t>Västra Kikkejaure korsningen Långviken avvanm</t>
        </is>
      </c>
      <c r="B12" t="inlineStr">
        <is>
          <t>inventeringsområde</t>
        </is>
      </c>
      <c r="D12" s="1" t="n">
        <v>46223</v>
      </c>
      <c r="E12" s="1" t="n">
        <v>46227</v>
      </c>
      <c r="F12" t="inlineStr">
        <is>
          <t>Norrbottens län</t>
        </is>
      </c>
      <c r="G12" t="inlineStr">
        <is>
          <t>Arjeplog</t>
        </is>
      </c>
      <c r="H12" t="inlineStr">
        <is>
          <t>Allmännings- och besparingsskogar</t>
        </is>
      </c>
      <c r="I12" t="n">
        <v>25.5</v>
      </c>
      <c r="J12" t="n">
        <v>4</v>
      </c>
      <c r="K12" t="n">
        <v>4</v>
      </c>
      <c r="L12" t="n">
        <v>20</v>
      </c>
      <c r="M12" t="n">
        <v>5</v>
      </c>
      <c r="N12" t="n">
        <v>1</v>
      </c>
      <c r="O12" t="n">
        <v>0</v>
      </c>
      <c r="P12" t="n">
        <v>0</v>
      </c>
      <c r="Q12" t="n">
        <v>26</v>
      </c>
      <c r="R12" t="n">
        <v>6</v>
      </c>
      <c r="S12" t="n">
        <v>32</v>
      </c>
      <c r="T12" t="n">
        <v>188</v>
      </c>
      <c r="U12" t="n">
        <v>188</v>
      </c>
      <c r="V12"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2">
        <f>HYPERLINK("https://klasma.github.io/Logging_FORSKNINGSRESAN_2026_ARJEPLOG/artfynd/Västra Kikkejaure korsningen Långviken avvanm artfynd.xlsx", "Västra Kikkejaure korsningen Långviken avvanm")</f>
        <v/>
      </c>
      <c r="X12">
        <f>HYPERLINK("https://klasma.github.io/Logging_FORSKNINGSRESAN_2026_ARJEPLOG/kartor/Västra Kikkejaure korsningen Långviken avvanm karta.png", "Västra Kikkejaure korsningen Långviken avvanm")</f>
        <v/>
      </c>
      <c r="Y12">
        <f>HYPERLINK("https://klasma.github.io/Logging_FORSKNINGSRESAN_2026_ARJEPLOG/kartor_geotiff/Västra Kikkejaure korsningen Långviken avvanm georefererad karta.tif", "Västra Kikkejaure korsningen Långviken avvanm")</f>
        <v/>
      </c>
      <c r="AA12">
        <f>HYPERLINK("https://klasma.github.io/Logging_FORSKNINGSRESAN_2026_ARJEPLOG/klagomål/Västra Kikkejaure korsningen Långviken avvanm FSC-klagomål.docx", "Västra Kikkejaure korsningen Långviken avvanm")</f>
        <v/>
      </c>
      <c r="AB12">
        <f>HYPERLINK("https://klasma.github.io/Logging_FORSKNINGSRESAN_2026_ARJEPLOG/klagomålsmail/Västra Kikkejaure korsningen Långviken avvanm FSC-klagomål mail.docx", "Västra Kikkejaure korsningen Långviken avvanm")</f>
        <v/>
      </c>
      <c r="AC12">
        <f>HYPERLINK("https://klasma.github.io/Logging_FORSKNINGSRESAN_2026_ARJEPLOG/tillsyn/Västra Kikkejaure korsningen Långviken avvanm tillsynsbegäran.docx", "Västra Kikkejaure korsningen Långviken avvanm")</f>
        <v/>
      </c>
      <c r="AD12">
        <f>HYPERLINK("https://klasma.github.io/Logging_FORSKNINGSRESAN_2026_ARJEPLOG/tillsynsmail/Västra Kikkejaure korsningen Långviken avvanm tillsynsbegäran mail.docx", "Västra Kikkejaure korsningen Långviken avvanm")</f>
        <v/>
      </c>
      <c r="AE12">
        <f>HYPERLINK("https://klasma.github.io/Logging_FORSKNINGSRESAN_2026_ARJEPLOG/fåglar/Västra Kikkejaure korsningen Långviken avvanm prioriterade fågelarter.docx", "Västra Kikkejaure korsningen Långviken avvanm")</f>
        <v/>
      </c>
      <c r="AF12" t="inlineStr">
        <is>
          <t>avvanm, tallnaturskog med silverved</t>
        </is>
      </c>
      <c r="AG12" t="n">
        <v>1</v>
      </c>
      <c r="AH12" t="inlineStr">
        <is>
          <t>Allmännings- och besparingsskogar</t>
        </is>
      </c>
      <c r="AI12" t="inlineStr">
        <is>
          <t>Tis: Gr 2 (prio 1)</t>
        </is>
      </c>
      <c r="AJ12" t="inlineStr">
        <is>
          <t>A 45924-2023</t>
        </is>
      </c>
    </row>
    <row r="13" ht="15" customHeight="1">
      <c r="A13" t="inlineStr">
        <is>
          <t>Bergmyrarna avvanm</t>
        </is>
      </c>
      <c r="B13" t="inlineStr">
        <is>
          <t>inventeringsområde</t>
        </is>
      </c>
      <c r="D13" s="1" t="n">
        <v>46223</v>
      </c>
      <c r="E13" s="1" t="n">
        <v>46227</v>
      </c>
      <c r="F13" t="inlineStr">
        <is>
          <t>Norrbottens län</t>
        </is>
      </c>
      <c r="G13" t="inlineStr">
        <is>
          <t>Arjeplog</t>
        </is>
      </c>
      <c r="H13" t="inlineStr">
        <is>
          <t>Allmännings- och besparingsskogar</t>
        </is>
      </c>
      <c r="I13" t="n">
        <v>17.7</v>
      </c>
      <c r="J13" t="n">
        <v>9</v>
      </c>
      <c r="K13" t="n">
        <v>8</v>
      </c>
      <c r="L13" t="n">
        <v>16</v>
      </c>
      <c r="M13" t="n">
        <v>5</v>
      </c>
      <c r="N13" t="n">
        <v>0</v>
      </c>
      <c r="O13" t="n">
        <v>0</v>
      </c>
      <c r="P13" t="n">
        <v>0</v>
      </c>
      <c r="Q13" t="n">
        <v>21</v>
      </c>
      <c r="R13" t="n">
        <v>5</v>
      </c>
      <c r="S13" t="n">
        <v>32</v>
      </c>
      <c r="T13" t="n">
        <v>252</v>
      </c>
      <c r="U13" t="n">
        <v>252</v>
      </c>
      <c r="V13"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Maskaure Uddnäs avvanm, 4,6 ha</t>
        </is>
      </c>
      <c r="B14" t="inlineStr">
        <is>
          <t>inventeringsområde</t>
        </is>
      </c>
      <c r="D14" s="1" t="n">
        <v>46223</v>
      </c>
      <c r="E14" s="1" t="n">
        <v>46227</v>
      </c>
      <c r="F14" t="inlineStr">
        <is>
          <t>Norrbottens län</t>
        </is>
      </c>
      <c r="G14" t="inlineStr">
        <is>
          <t>Arjeplog</t>
        </is>
      </c>
      <c r="I14" t="n">
        <v>4.6</v>
      </c>
      <c r="J14" t="n">
        <v>4</v>
      </c>
      <c r="K14" t="n">
        <v>5</v>
      </c>
      <c r="L14" t="n">
        <v>18</v>
      </c>
      <c r="M14" t="n">
        <v>5</v>
      </c>
      <c r="N14" t="n">
        <v>0</v>
      </c>
      <c r="O14" t="n">
        <v>0</v>
      </c>
      <c r="P14" t="n">
        <v>0</v>
      </c>
      <c r="Q14" t="n">
        <v>23</v>
      </c>
      <c r="R14" t="n">
        <v>5</v>
      </c>
      <c r="S14" t="n">
        <v>29</v>
      </c>
      <c r="T14" t="n">
        <v>109</v>
      </c>
      <c r="U14" t="n">
        <v>109</v>
      </c>
      <c r="V14"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4">
        <f>HYPERLINK("https://klasma.github.io/Logging_FORSKNINGSRESAN_2026_ARJEPLOG/artfynd/Maskaure Uddnäs avvanm, 4,6 ha artfynd.xlsx", "Maskaure Uddnäs avvanm, 4,6 ha")</f>
        <v/>
      </c>
      <c r="X14">
        <f>HYPERLINK("https://klasma.github.io/Logging_FORSKNINGSRESAN_2026_ARJEPLOG/kartor/Maskaure Uddnäs avvanm, 4,6 ha karta.png", "Maskaure Uddnäs avvanm, 4,6 ha")</f>
        <v/>
      </c>
      <c r="Y14">
        <f>HYPERLINK("https://klasma.github.io/Logging_FORSKNINGSRESAN_2026_ARJEPLOG/kartor_geotiff/Maskaure Uddnäs avvanm, 4,6 ha georefererad karta.tif", "Maskaure Uddnäs avvanm, 4,6 ha")</f>
        <v/>
      </c>
      <c r="AA14">
        <f>HYPERLINK("https://klasma.github.io/Logging_FORSKNINGSRESAN_2026_ARJEPLOG/klagomål/Maskaure Uddnäs avvanm, 4,6 ha FSC-klagomål.docx", "Maskaure Uddnäs avvanm, 4,6 ha")</f>
        <v/>
      </c>
      <c r="AB14">
        <f>HYPERLINK("https://klasma.github.io/Logging_FORSKNINGSRESAN_2026_ARJEPLOG/klagomålsmail/Maskaure Uddnäs avvanm, 4,6 ha FSC-klagomål mail.docx", "Maskaure Uddnäs avvanm, 4,6 ha")</f>
        <v/>
      </c>
      <c r="AC14">
        <f>HYPERLINK("https://klasma.github.io/Logging_FORSKNINGSRESAN_2026_ARJEPLOG/tillsyn/Maskaure Uddnäs avvanm, 4,6 ha tillsynsbegäran.docx", "Maskaure Uddnäs avvanm, 4,6 ha")</f>
        <v/>
      </c>
      <c r="AD14">
        <f>HYPERLINK("https://klasma.github.io/Logging_FORSKNINGSRESAN_2026_ARJEPLOG/tillsynsmail/Maskaure Uddnäs avvanm, 4,6 ha tillsynsbegäran mail.docx", "Maskaure Uddnäs avvanm, 4,6 ha")</f>
        <v/>
      </c>
      <c r="AE14">
        <f>HYPERLINK("https://klasma.github.io/Logging_FORSKNINGSRESAN_2026_ARJEPLOG/fåglar/Maskaure Uddnäs avvanm, 4,6 ha prioriterade fågelarter.docx", "Maskaure Uddnäs avvanm, 4,6 ha")</f>
        <v/>
      </c>
      <c r="AF14" t="inlineStr">
        <is>
          <t>Barrblandskog med äldre gran, nyckelbiotop, avvanm</t>
        </is>
      </c>
      <c r="AG14" t="n">
        <v>1</v>
      </c>
      <c r="AH14" t="inlineStr">
        <is>
          <t>Privat</t>
        </is>
      </c>
      <c r="AI14" t="inlineStr">
        <is>
          <t>Ons: Gr 3</t>
        </is>
      </c>
      <c r="AJ14" t="inlineStr">
        <is>
          <t>A 37442-2025</t>
        </is>
      </c>
    </row>
    <row r="15" ht="15" customHeight="1">
      <c r="A15" t="inlineStr">
        <is>
          <t>Maskaure Långmyran SV, 6,8 ha</t>
        </is>
      </c>
      <c r="B15" t="inlineStr">
        <is>
          <t>inventeringsområde</t>
        </is>
      </c>
      <c r="D15" s="1" t="n">
        <v>46223</v>
      </c>
      <c r="E15" s="1" t="n">
        <v>46227</v>
      </c>
      <c r="F15" t="inlineStr">
        <is>
          <t>Norrbottens län</t>
        </is>
      </c>
      <c r="G15" t="inlineStr">
        <is>
          <t>Arjeplog</t>
        </is>
      </c>
      <c r="H15" t="inlineStr">
        <is>
          <t>Sveaskog</t>
        </is>
      </c>
      <c r="I15" t="n">
        <v>6.9</v>
      </c>
      <c r="J15" t="n">
        <v>4</v>
      </c>
      <c r="K15" t="n">
        <v>3</v>
      </c>
      <c r="L15" t="n">
        <v>16</v>
      </c>
      <c r="M15" t="n">
        <v>4</v>
      </c>
      <c r="N15" t="n">
        <v>0</v>
      </c>
      <c r="O15" t="n">
        <v>0</v>
      </c>
      <c r="P15" t="n">
        <v>0</v>
      </c>
      <c r="Q15" t="n">
        <v>20</v>
      </c>
      <c r="R15" t="n">
        <v>4</v>
      </c>
      <c r="S15" t="n">
        <v>27</v>
      </c>
      <c r="T15" t="n">
        <v>65</v>
      </c>
      <c r="U15" t="n">
        <v>57</v>
      </c>
      <c r="V15"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5">
        <f>HYPERLINK("https://klasma.github.io/Logging_FORSKNINGSRESAN_2026_ARJEPLOG/artfynd/Maskaure Långmyran SV, 6,8 ha artfynd.xlsx", "Maskaure Långmyran SV, 6,8 ha")</f>
        <v/>
      </c>
      <c r="X15">
        <f>HYPERLINK("https://klasma.github.io/Logging_FORSKNINGSRESAN_2026_ARJEPLOG/kartor/Maskaure Långmyran SV, 6,8 ha karta.png", "Maskaure Långmyran SV, 6,8 ha")</f>
        <v/>
      </c>
      <c r="Y15">
        <f>HYPERLINK("https://klasma.github.io/Logging_FORSKNINGSRESAN_2026_ARJEPLOG/kartor_geotiff/Maskaure Långmyran SV, 6,8 ha georefererad karta.tif", "Maskaure Långmyran SV, 6,8 ha")</f>
        <v/>
      </c>
      <c r="AA15">
        <f>HYPERLINK("https://klasma.github.io/Logging_FORSKNINGSRESAN_2026_ARJEPLOG/klagomål/Maskaure Långmyran SV, 6,8 ha FSC-klagomål.docx", "Maskaure Långmyran SV, 6,8 ha")</f>
        <v/>
      </c>
      <c r="AB15">
        <f>HYPERLINK("https://klasma.github.io/Logging_FORSKNINGSRESAN_2026_ARJEPLOG/klagomålsmail/Maskaure Långmyran SV, 6,8 ha FSC-klagomål mail.docx", "Maskaure Långmyran SV, 6,8 ha")</f>
        <v/>
      </c>
      <c r="AC15">
        <f>HYPERLINK("https://klasma.github.io/Logging_FORSKNINGSRESAN_2026_ARJEPLOG/tillsyn/Maskaure Långmyran SV, 6,8 ha tillsynsbegäran.docx", "Maskaure Långmyran SV, 6,8 ha")</f>
        <v/>
      </c>
      <c r="AD15">
        <f>HYPERLINK("https://klasma.github.io/Logging_FORSKNINGSRESAN_2026_ARJEPLOG/tillsynsmail/Maskaure Långmyran SV, 6,8 ha tillsynsbegäran mail.docx", "Maskaure Långmyran SV, 6,8 ha")</f>
        <v/>
      </c>
      <c r="AE15">
        <f>HYPERLINK("https://klasma.github.io/Logging_FORSKNINGSRESAN_2026_ARJEPLOG/fåglar/Maskaure Långmyran SV, 6,8 ha prioriterade fågelarter.docx", "Maskaure Långmyran SV, 6,8 ha")</f>
        <v/>
      </c>
      <c r="AF15" t="n">
        <v/>
      </c>
      <c r="AG15" t="n">
        <v>1</v>
      </c>
      <c r="AH15" t="inlineStr">
        <is>
          <t>Sveaskog</t>
        </is>
      </c>
      <c r="AI15" t="inlineStr">
        <is>
          <t>Ons: Gr 3</t>
        </is>
      </c>
      <c r="AJ15" t="n">
        <v/>
      </c>
    </row>
    <row r="16" ht="15" customHeight="1">
      <c r="A16" t="inlineStr">
        <is>
          <t>Västra Kikkejaure Rengärdet avvanm</t>
        </is>
      </c>
      <c r="B16" t="inlineStr">
        <is>
          <t>inventeringsområde</t>
        </is>
      </c>
      <c r="D16" s="1" t="n">
        <v>46223</v>
      </c>
      <c r="E16" s="1" t="n">
        <v>46227</v>
      </c>
      <c r="F16" t="inlineStr">
        <is>
          <t>Norrbottens län</t>
        </is>
      </c>
      <c r="G16" t="inlineStr">
        <is>
          <t>Arjeplog</t>
        </is>
      </c>
      <c r="H16" t="inlineStr">
        <is>
          <t>Allmännings- och besparingsskogar</t>
        </is>
      </c>
      <c r="I16" t="n">
        <v>10.4</v>
      </c>
      <c r="J16" t="n">
        <v>5</v>
      </c>
      <c r="K16" t="n">
        <v>3</v>
      </c>
      <c r="L16" t="n">
        <v>18</v>
      </c>
      <c r="M16" t="n">
        <v>3</v>
      </c>
      <c r="N16" t="n">
        <v>0</v>
      </c>
      <c r="O16" t="n">
        <v>0</v>
      </c>
      <c r="P16" t="n">
        <v>0</v>
      </c>
      <c r="Q16" t="n">
        <v>21</v>
      </c>
      <c r="R16" t="n">
        <v>3</v>
      </c>
      <c r="S16" t="n">
        <v>26</v>
      </c>
      <c r="T16" t="n">
        <v>95</v>
      </c>
      <c r="U16" t="n">
        <v>61</v>
      </c>
      <c r="V16"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6">
        <f>HYPERLINK("https://klasma.github.io/Logging_FORSKNINGSRESAN_2026_ARJEPLOG/artfynd/Västra Kikkejaure Rengärdet avvanm artfynd.xlsx", "Västra Kikkejaure Rengärdet avvanm")</f>
        <v/>
      </c>
      <c r="X16">
        <f>HYPERLINK("https://klasma.github.io/Logging_FORSKNINGSRESAN_2026_ARJEPLOG/kartor/Västra Kikkejaure Rengärdet avvanm karta.png", "Västra Kikkejaure Rengärdet avvanm")</f>
        <v/>
      </c>
      <c r="Y16">
        <f>HYPERLINK("https://klasma.github.io/Logging_FORSKNINGSRESAN_2026_ARJEPLOG/kartor_geotiff/Västra Kikkejaure Rengärdet avvanm georefererad karta.tif", "Västra Kikkejaure Rengärdet avvanm")</f>
        <v/>
      </c>
      <c r="AA16">
        <f>HYPERLINK("https://klasma.github.io/Logging_FORSKNINGSRESAN_2026_ARJEPLOG/klagomål/Västra Kikkejaure Rengärdet avvanm FSC-klagomål.docx", "Västra Kikkejaure Rengärdet avvanm")</f>
        <v/>
      </c>
      <c r="AB16">
        <f>HYPERLINK("https://klasma.github.io/Logging_FORSKNINGSRESAN_2026_ARJEPLOG/klagomålsmail/Västra Kikkejaure Rengärdet avvanm FSC-klagomål mail.docx", "Västra Kikkejaure Rengärdet avvanm")</f>
        <v/>
      </c>
      <c r="AC16">
        <f>HYPERLINK("https://klasma.github.io/Logging_FORSKNINGSRESAN_2026_ARJEPLOG/tillsyn/Västra Kikkejaure Rengärdet avvanm tillsynsbegäran.docx", "Västra Kikkejaure Rengärdet avvanm")</f>
        <v/>
      </c>
      <c r="AD16">
        <f>HYPERLINK("https://klasma.github.io/Logging_FORSKNINGSRESAN_2026_ARJEPLOG/tillsynsmail/Västra Kikkejaure Rengärdet avvanm tillsynsbegäran mail.docx", "Västra Kikkejaure Rengärdet avvanm")</f>
        <v/>
      </c>
      <c r="AE16">
        <f>HYPERLINK("https://klasma.github.io/Logging_FORSKNINGSRESAN_2026_ARJEPLOG/fåglar/Västra Kikkejaure Rengärdet avvanm prioriterade fågelarter.docx", "Västra Kikkejaure Rengärdet avvanm")</f>
        <v/>
      </c>
      <c r="AF16" t="inlineStr">
        <is>
          <t>Delvis inventerad av Fältbiologerna, komplettera! avvanm</t>
        </is>
      </c>
      <c r="AG16" t="n">
        <v>1</v>
      </c>
      <c r="AH16" t="inlineStr">
        <is>
          <t>Allmännings- och besparingsskogar</t>
        </is>
      </c>
      <c r="AI16" t="inlineStr">
        <is>
          <t>Tis: Gr 2 (prio 2)</t>
        </is>
      </c>
      <c r="AJ16" t="inlineStr">
        <is>
          <t>A 26954-2022</t>
        </is>
      </c>
    </row>
    <row r="17" ht="15" customHeight="1">
      <c r="A17" t="inlineStr">
        <is>
          <t>Maskaure Renskötartjärnen, 8,3 ha</t>
        </is>
      </c>
      <c r="B17" t="inlineStr">
        <is>
          <t>inventeringsområde</t>
        </is>
      </c>
      <c r="D17" s="1" t="n">
        <v>46223</v>
      </c>
      <c r="E17" s="1" t="n">
        <v>46227</v>
      </c>
      <c r="F17" t="inlineStr">
        <is>
          <t>Norrbottens län</t>
        </is>
      </c>
      <c r="G17" t="inlineStr">
        <is>
          <t>Arjeplog</t>
        </is>
      </c>
      <c r="H17" t="inlineStr">
        <is>
          <t>Sveaskog</t>
        </is>
      </c>
      <c r="I17" t="n">
        <v>8.300000000000001</v>
      </c>
      <c r="J17" t="n">
        <v>2</v>
      </c>
      <c r="K17" t="n">
        <v>3</v>
      </c>
      <c r="L17" t="n">
        <v>12</v>
      </c>
      <c r="M17" t="n">
        <v>8</v>
      </c>
      <c r="N17" t="n">
        <v>0</v>
      </c>
      <c r="O17" t="n">
        <v>1</v>
      </c>
      <c r="P17" t="n">
        <v>0</v>
      </c>
      <c r="Q17" t="n">
        <v>21</v>
      </c>
      <c r="R17" t="n">
        <v>9</v>
      </c>
      <c r="S17" t="n">
        <v>25</v>
      </c>
      <c r="T17" t="n">
        <v>81</v>
      </c>
      <c r="U17" t="n">
        <v>49</v>
      </c>
      <c r="V17"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7">
        <f>HYPERLINK("https://klasma.github.io/Logging_FORSKNINGSRESAN_2026_ARJEPLOG/artfynd/Maskaure Renskötartjärnen, 8,3 ha artfynd.xlsx", "Maskaure Renskötartjärnen, 8,3 ha")</f>
        <v/>
      </c>
      <c r="X17">
        <f>HYPERLINK("https://klasma.github.io/Logging_FORSKNINGSRESAN_2026_ARJEPLOG/kartor/Maskaure Renskötartjärnen, 8,3 ha karta.png", "Maskaure Renskötartjärnen, 8,3 ha")</f>
        <v/>
      </c>
      <c r="Y17">
        <f>HYPERLINK("https://klasma.github.io/Logging_FORSKNINGSRESAN_2026_ARJEPLOG/kartor_geotiff/Maskaure Renskötartjärnen, 8,3 ha georefererad karta.tif", "Maskaure Renskötartjärnen, 8,3 ha")</f>
        <v/>
      </c>
      <c r="AA17">
        <f>HYPERLINK("https://klasma.github.io/Logging_FORSKNINGSRESAN_2026_ARJEPLOG/klagomål/Maskaure Renskötartjärnen, 8,3 ha FSC-klagomål.docx", "Maskaure Renskötartjärnen, 8,3 ha")</f>
        <v/>
      </c>
      <c r="AB17">
        <f>HYPERLINK("https://klasma.github.io/Logging_FORSKNINGSRESAN_2026_ARJEPLOG/klagomålsmail/Maskaure Renskötartjärnen, 8,3 ha FSC-klagomål mail.docx", "Maskaure Renskötartjärnen, 8,3 ha")</f>
        <v/>
      </c>
      <c r="AC17">
        <f>HYPERLINK("https://klasma.github.io/Logging_FORSKNINGSRESAN_2026_ARJEPLOG/tillsyn/Maskaure Renskötartjärnen, 8,3 ha tillsynsbegäran.docx", "Maskaure Renskötartjärnen, 8,3 ha")</f>
        <v/>
      </c>
      <c r="AD17">
        <f>HYPERLINK("https://klasma.github.io/Logging_FORSKNINGSRESAN_2026_ARJEPLOG/tillsynsmail/Maskaure Renskötartjärnen, 8,3 ha tillsynsbegäran mail.docx", "Maskaure Renskötartjärnen, 8,3 ha")</f>
        <v/>
      </c>
      <c r="AF17" t="inlineStr">
        <is>
          <t>k-skog, ej rekad</t>
        </is>
      </c>
      <c r="AG17" t="n">
        <v>1</v>
      </c>
      <c r="AH17" t="inlineStr">
        <is>
          <t>Sveaskog</t>
        </is>
      </c>
      <c r="AI17" t="inlineStr">
        <is>
          <t>Ons: Gr 3</t>
        </is>
      </c>
      <c r="AJ17" t="n">
        <v/>
      </c>
    </row>
    <row r="18" ht="15" customHeight="1">
      <c r="A18" t="inlineStr">
        <is>
          <t>Njuöniesvárrie NV avvanm</t>
        </is>
      </c>
      <c r="B18" t="inlineStr">
        <is>
          <t>inventeringsområde</t>
        </is>
      </c>
      <c r="D18" s="1" t="n">
        <v>46223</v>
      </c>
      <c r="E18" s="1" t="n">
        <v>46227</v>
      </c>
      <c r="F18" t="inlineStr">
        <is>
          <t>Norrbottens län</t>
        </is>
      </c>
      <c r="G18" t="inlineStr">
        <is>
          <t>Arjeplog</t>
        </is>
      </c>
      <c r="H18" t="inlineStr">
        <is>
          <t>Allmännings- och besparingsskogar</t>
        </is>
      </c>
      <c r="I18" t="n">
        <v>39.8</v>
      </c>
      <c r="J18" t="n">
        <v>4</v>
      </c>
      <c r="K18" t="n">
        <v>3</v>
      </c>
      <c r="L18" t="n">
        <v>13</v>
      </c>
      <c r="M18" t="n">
        <v>5</v>
      </c>
      <c r="N18" t="n">
        <v>1</v>
      </c>
      <c r="O18" t="n">
        <v>0</v>
      </c>
      <c r="P18" t="n">
        <v>0</v>
      </c>
      <c r="Q18" t="n">
        <v>19</v>
      </c>
      <c r="R18" t="n">
        <v>6</v>
      </c>
      <c r="S18" t="n">
        <v>23</v>
      </c>
      <c r="T18" t="n">
        <v>73</v>
      </c>
      <c r="U18" t="n">
        <v>73</v>
      </c>
      <c r="V18"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8">
        <f>HYPERLINK("https://klasma.github.io/Logging_FORSKNINGSRESAN_2026_ARJEPLOG/artfynd/Njuöniesvárrie NV avvanm artfynd.xlsx", "Njuöniesvárrie NV avvanm")</f>
        <v/>
      </c>
      <c r="X18">
        <f>HYPERLINK("https://klasma.github.io/Logging_FORSKNINGSRESAN_2026_ARJEPLOG/kartor/Njuöniesvárrie NV avvanm karta.png", "Njuöniesvárrie NV avvanm")</f>
        <v/>
      </c>
      <c r="Y18">
        <f>HYPERLINK("https://klasma.github.io/Logging_FORSKNINGSRESAN_2026_ARJEPLOG/kartor_geotiff/Njuöniesvárrie NV avvanm georefererad karta.tif", "Njuöniesvárrie NV avvanm")</f>
        <v/>
      </c>
      <c r="Z18">
        <f>HYPERLINK("https://klasma.github.io/Logging_FORSKNINGSRESAN_2026_ARJEPLOG/knärot/Njuöniesvárrie NV avvanm karta knärot.png", "Njuöniesvárrie NV avvanm")</f>
        <v/>
      </c>
      <c r="AA18">
        <f>HYPERLINK("https://klasma.github.io/Logging_FORSKNINGSRESAN_2026_ARJEPLOG/klagomål/Njuöniesvárrie NV avvanm FSC-klagomål.docx", "Njuöniesvárrie NV avvanm")</f>
        <v/>
      </c>
      <c r="AB18">
        <f>HYPERLINK("https://klasma.github.io/Logging_FORSKNINGSRESAN_2026_ARJEPLOG/klagomålsmail/Njuöniesvárrie NV avvanm FSC-klagomål mail.docx", "Njuöniesvárrie NV avvanm")</f>
        <v/>
      </c>
      <c r="AC18">
        <f>HYPERLINK("https://klasma.github.io/Logging_FORSKNINGSRESAN_2026_ARJEPLOG/tillsyn/Njuöniesvárrie NV avvanm tillsynsbegäran.docx", "Njuöniesvárrie NV avvanm")</f>
        <v/>
      </c>
      <c r="AD18">
        <f>HYPERLINK("https://klasma.github.io/Logging_FORSKNINGSRESAN_2026_ARJEPLOG/tillsynsmail/Njuöniesvárrie NV avvanm tillsynsbegäran mail.docx", "Njuöniesvárrie NV avvanm")</f>
        <v/>
      </c>
      <c r="AE18">
        <f>HYPERLINK("https://klasma.github.io/Logging_FORSKNINGSRESAN_2026_ARJEPLOG/fåglar/Njuöniesvárrie NV avvanm prioriterade fågelarter.docx", "Njuöniesvárrie NV avvanm")</f>
        <v/>
      </c>
      <c r="AF18" t="inlineStr">
        <is>
          <t>Barrblandskog, eventuellt bom!! avvanm</t>
        </is>
      </c>
      <c r="AG18" t="n">
        <v>1</v>
      </c>
      <c r="AH18" t="inlineStr">
        <is>
          <t>Allmännings- och besparingsskogar</t>
        </is>
      </c>
      <c r="AI18" t="n">
        <v/>
      </c>
      <c r="AJ18" t="n">
        <v/>
      </c>
    </row>
    <row r="19" ht="15" customHeight="1">
      <c r="A19" t="inlineStr">
        <is>
          <t>Maskaure Mullholm avvanm, 39,6 ha</t>
        </is>
      </c>
      <c r="B19" t="inlineStr">
        <is>
          <t>inventeringsområde</t>
        </is>
      </c>
      <c r="D19" s="1" t="n">
        <v>46223</v>
      </c>
      <c r="E19" s="1" t="n">
        <v>46227</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46227</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46227</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46227</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46227</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Maskaure Maddagielas S, 27 ha</t>
        </is>
      </c>
      <c r="B24" t="inlineStr">
        <is>
          <t>inventeringsområde</t>
        </is>
      </c>
      <c r="D24" s="1" t="n">
        <v>46223</v>
      </c>
      <c r="E24" s="1" t="n">
        <v>46227</v>
      </c>
      <c r="F24" t="inlineStr">
        <is>
          <t>Norrbottens län</t>
        </is>
      </c>
      <c r="G24" t="inlineStr">
        <is>
          <t>Arjeplog</t>
        </is>
      </c>
      <c r="H24" t="inlineStr">
        <is>
          <t>Sveaskog</t>
        </is>
      </c>
      <c r="I24" t="n">
        <v>26.3</v>
      </c>
      <c r="J24" t="n">
        <v>2</v>
      </c>
      <c r="K24" t="n">
        <v>1</v>
      </c>
      <c r="L24" t="n">
        <v>8</v>
      </c>
      <c r="M24" t="n">
        <v>1</v>
      </c>
      <c r="N24" t="n">
        <v>0</v>
      </c>
      <c r="O24" t="n">
        <v>0</v>
      </c>
      <c r="P24" t="n">
        <v>0</v>
      </c>
      <c r="Q24" t="n">
        <v>9</v>
      </c>
      <c r="R24" t="n">
        <v>1</v>
      </c>
      <c r="S24" t="n">
        <v>11</v>
      </c>
      <c r="T24" t="n">
        <v>55</v>
      </c>
      <c r="U24" t="n">
        <v>54</v>
      </c>
      <c r="V24" s="2" t="inlineStr">
        <is>
          <t>Garnlav
Gammelgransskål
Harticka
Knottrig blåslav
Lavskrika
Rosenticka
Talltagel
Tretåig hackspett
Ullticka
Vedticka
Grå renlav</t>
        </is>
      </c>
      <c r="W24">
        <f>HYPERLINK("https://klasma.github.io/Logging_FORSKNINGSRESAN_2026_ARJEPLOG/artfynd/Maskaure Maddagielas S, 27 ha artfynd.xlsx", "Maskaure Maddagielas S, 27 ha")</f>
        <v/>
      </c>
      <c r="X24">
        <f>HYPERLINK("https://klasma.github.io/Logging_FORSKNINGSRESAN_2026_ARJEPLOG/kartor/Maskaure Maddagielas S, 27 ha karta.png", "Maskaure Maddagielas S, 27 ha")</f>
        <v/>
      </c>
      <c r="Y24">
        <f>HYPERLINK("https://klasma.github.io/Logging_FORSKNINGSRESAN_2026_ARJEPLOG/kartor_geotiff/Maskaure Maddagielas S, 27 ha georefererad karta.tif", "Maskaure Maddagielas S, 27 ha")</f>
        <v/>
      </c>
      <c r="AA24">
        <f>HYPERLINK("https://klasma.github.io/Logging_FORSKNINGSRESAN_2026_ARJEPLOG/klagomål/Maskaure Maddagielas S, 27 ha FSC-klagomål.docx", "Maskaure Maddagielas S, 27 ha")</f>
        <v/>
      </c>
      <c r="AB24">
        <f>HYPERLINK("https://klasma.github.io/Logging_FORSKNINGSRESAN_2026_ARJEPLOG/klagomålsmail/Maskaure Maddagielas S, 27 ha FSC-klagomål mail.docx", "Maskaure Maddagielas S, 27 ha")</f>
        <v/>
      </c>
      <c r="AC24">
        <f>HYPERLINK("https://klasma.github.io/Logging_FORSKNINGSRESAN_2026_ARJEPLOG/tillsyn/Maskaure Maddagielas S, 27 ha tillsynsbegäran.docx", "Maskaure Maddagielas S, 27 ha")</f>
        <v/>
      </c>
      <c r="AD24">
        <f>HYPERLINK("https://klasma.github.io/Logging_FORSKNINGSRESAN_2026_ARJEPLOG/tillsynsmail/Maskaure Maddagielas S, 27 ha tillsynsbegäran mail.docx", "Maskaure Maddagielas S, 27 ha")</f>
        <v/>
      </c>
      <c r="AE24">
        <f>HYPERLINK("https://klasma.github.io/Logging_FORSKNINGSRESAN_2026_ARJEPLOG/fåglar/Maskaure Maddagielas S, 27 ha prioriterade fågelarter.docx", "Maskaure Maddagielas S, 27 ha")</f>
        <v/>
      </c>
      <c r="AF24" t="inlineStr">
        <is>
          <t>Samplaneringsområde</t>
        </is>
      </c>
      <c r="AG24" t="n">
        <v/>
      </c>
      <c r="AH24" t="inlineStr">
        <is>
          <t>Sveaskog</t>
        </is>
      </c>
      <c r="AI24" t="inlineStr">
        <is>
          <t>Ons: Gr 4</t>
        </is>
      </c>
      <c r="AJ24" t="n">
        <v/>
      </c>
    </row>
    <row r="25" ht="15" customHeight="1">
      <c r="A25" t="inlineStr">
        <is>
          <t>Ássjátj utv öster</t>
        </is>
      </c>
      <c r="B25" t="inlineStr">
        <is>
          <t>inventeringsområde</t>
        </is>
      </c>
      <c r="D25" s="1" t="n">
        <v>46223</v>
      </c>
      <c r="E25" s="1" t="n">
        <v>46227</v>
      </c>
      <c r="F25" t="inlineStr">
        <is>
          <t>Norrbottens län</t>
        </is>
      </c>
      <c r="G25" t="inlineStr">
        <is>
          <t>Arjeplog</t>
        </is>
      </c>
      <c r="H25" t="inlineStr">
        <is>
          <t>Övriga statliga verk och myndigheter</t>
        </is>
      </c>
      <c r="I25" t="n">
        <v>27.1</v>
      </c>
      <c r="J25" t="n">
        <v>0</v>
      </c>
      <c r="K25" t="n">
        <v>4</v>
      </c>
      <c r="L25" t="n">
        <v>6</v>
      </c>
      <c r="M25" t="n">
        <v>0</v>
      </c>
      <c r="N25" t="n">
        <v>0</v>
      </c>
      <c r="O25" t="n">
        <v>0</v>
      </c>
      <c r="P25" t="n">
        <v>0</v>
      </c>
      <c r="Q25" t="n">
        <v>6</v>
      </c>
      <c r="R25" t="n">
        <v>0</v>
      </c>
      <c r="S25" t="n">
        <v>10</v>
      </c>
      <c r="T25" t="n">
        <v>13</v>
      </c>
      <c r="U25" t="n">
        <v>0</v>
      </c>
      <c r="V25" s="2" t="inlineStr">
        <is>
          <t>Harticka
Kolflarnlav
Lunglav
Skrovellav
Ullticka
Vedskivlav
Bårdlav
Luddlav
Skinnlav
Ögonpyrola</t>
        </is>
      </c>
      <c r="W25">
        <f>HYPERLINK("https://klasma.github.io/Logging_FORSKNINGSRESAN_2026_ARJEPLOG/artfynd/Ássjátj utv öster artfynd.xlsx", "Ássjátj utv öster")</f>
        <v/>
      </c>
      <c r="X25">
        <f>HYPERLINK("https://klasma.github.io/Logging_FORSKNINGSRESAN_2026_ARJEPLOG/kartor/Ássjátj utv öster karta.png", "Ássjátj utv öster")</f>
        <v/>
      </c>
      <c r="Y25">
        <f>HYPERLINK("https://klasma.github.io/Logging_FORSKNINGSRESAN_2026_ARJEPLOG/kartor_geotiff/Ássjátj utv öster georefererad karta.tif", "Ássjátj utv öster")</f>
        <v/>
      </c>
      <c r="AA25">
        <f>HYPERLINK("https://klasma.github.io/Logging_FORSKNINGSRESAN_2026_ARJEPLOG/klagomål/Ássjátj utv öster FSC-klagomål.docx", "Ássjátj utv öster")</f>
        <v/>
      </c>
      <c r="AB25">
        <f>HYPERLINK("https://klasma.github.io/Logging_FORSKNINGSRESAN_2026_ARJEPLOG/klagomålsmail/Ássjátj utv öster FSC-klagomål mail.docx", "Ássjátj utv öster")</f>
        <v/>
      </c>
      <c r="AC25">
        <f>HYPERLINK("https://klasma.github.io/Logging_FORSKNINGSRESAN_2026_ARJEPLOG/tillsyn/Ássjátj utv öster tillsynsbegäran.docx", "Ássjátj utv öster")</f>
        <v/>
      </c>
      <c r="AD25">
        <f>HYPERLINK("https://klasma.github.io/Logging_FORSKNINGSRESAN_2026_ARJEPLOG/tillsynsmail/Ássjátj utv öster tillsynsbegäran mail.docx", "Ássjátj utv öster")</f>
        <v/>
      </c>
      <c r="AF25" t="inlineStr">
        <is>
          <t>ej inventerad del - gran??</t>
        </is>
      </c>
      <c r="AG25" t="n">
        <v>1</v>
      </c>
      <c r="AH25" t="inlineStr">
        <is>
          <t>SFV</t>
        </is>
      </c>
      <c r="AI25" t="n">
        <v/>
      </c>
      <c r="AJ25" t="n">
        <v/>
      </c>
    </row>
    <row r="26" ht="15" customHeight="1">
      <c r="A26" t="inlineStr">
        <is>
          <t>Ássjátj-udden</t>
        </is>
      </c>
      <c r="B26" t="inlineStr">
        <is>
          <t>inventeringsområde</t>
        </is>
      </c>
      <c r="D26" s="1" t="n">
        <v>46223</v>
      </c>
      <c r="E26" s="1" t="n">
        <v>46227</v>
      </c>
      <c r="F26" t="inlineStr">
        <is>
          <t>Norrbottens län</t>
        </is>
      </c>
      <c r="G26" t="inlineStr">
        <is>
          <t>Arjeplog</t>
        </is>
      </c>
      <c r="I26" t="n">
        <v>53.2</v>
      </c>
      <c r="J26" t="n">
        <v>2</v>
      </c>
      <c r="K26" t="n">
        <v>1</v>
      </c>
      <c r="L26" t="n">
        <v>6</v>
      </c>
      <c r="M26" t="n">
        <v>2</v>
      </c>
      <c r="N26" t="n">
        <v>0</v>
      </c>
      <c r="O26" t="n">
        <v>0</v>
      </c>
      <c r="P26" t="n">
        <v>0</v>
      </c>
      <c r="Q26" t="n">
        <v>8</v>
      </c>
      <c r="R26" t="n">
        <v>2</v>
      </c>
      <c r="S26" t="n">
        <v>9</v>
      </c>
      <c r="T26" t="n">
        <v>10</v>
      </c>
      <c r="U26" t="n">
        <v>0</v>
      </c>
      <c r="V26" s="2" t="inlineStr">
        <is>
          <t>Kristallticka
Ostticka
Gammelgransskål
Rosenticka
Tretåig hackspett
Ullticka
Violettgrå tagellav
Vitgrynig nållav
Spindelblomster</t>
        </is>
      </c>
      <c r="W26">
        <f>HYPERLINK("https://klasma.github.io/Logging_FORSKNINGSRESAN_2026_ARJEPLOG/artfynd/Ássjátj-udden artfynd.xlsx", "Ássjátj-udden")</f>
        <v/>
      </c>
      <c r="X26">
        <f>HYPERLINK("https://klasma.github.io/Logging_FORSKNINGSRESAN_2026_ARJEPLOG/kartor/Ássjátj-udden karta.png", "Ássjátj-udden")</f>
        <v/>
      </c>
      <c r="Y26">
        <f>HYPERLINK("https://klasma.github.io/Logging_FORSKNINGSRESAN_2026_ARJEPLOG/kartor_geotiff/Ássjátj-udden georefererad karta.tif", "Ássjátj-udden")</f>
        <v/>
      </c>
      <c r="AA26">
        <f>HYPERLINK("https://klasma.github.io/Logging_FORSKNINGSRESAN_2026_ARJEPLOG/klagomål/Ássjátj-udden FSC-klagomål.docx", "Ássjátj-udden")</f>
        <v/>
      </c>
      <c r="AB26">
        <f>HYPERLINK("https://klasma.github.io/Logging_FORSKNINGSRESAN_2026_ARJEPLOG/klagomålsmail/Ássjátj-udden FSC-klagomål mail.docx", "Ássjátj-udden")</f>
        <v/>
      </c>
      <c r="AC26">
        <f>HYPERLINK("https://klasma.github.io/Logging_FORSKNINGSRESAN_2026_ARJEPLOG/tillsyn/Ássjátj-udden tillsynsbegäran.docx", "Ássjátj-udden")</f>
        <v/>
      </c>
      <c r="AD26">
        <f>HYPERLINK("https://klasma.github.io/Logging_FORSKNINGSRESAN_2026_ARJEPLOG/tillsynsmail/Ássjátj-udden tillsynsbegäran mail.docx", "Ássjátj-udden")</f>
        <v/>
      </c>
      <c r="AE26">
        <f>HYPERLINK("https://klasma.github.io/Logging_FORSKNINGSRESAN_2026_ARJEPLOG/fåglar/Ássjátj-udden prioriterade fågelarter.docx", "Ássjátj-udden")</f>
        <v/>
      </c>
      <c r="AF26" t="inlineStr">
        <is>
          <t>stavatallskog med överståndare, för lite död ved? oinventerad (jmf greensway norrut)</t>
        </is>
      </c>
      <c r="AG26" t="n">
        <v/>
      </c>
      <c r="AH26" t="inlineStr">
        <is>
          <t>Mestadels privat</t>
        </is>
      </c>
      <c r="AI26" t="n">
        <v/>
      </c>
      <c r="AJ26" t="n">
        <v/>
      </c>
    </row>
    <row r="27" ht="15" customHeight="1">
      <c r="A27" t="inlineStr">
        <is>
          <t>Iksjak-Råssnesudden</t>
        </is>
      </c>
      <c r="B27" t="inlineStr">
        <is>
          <t>inventeringsområde</t>
        </is>
      </c>
      <c r="D27" s="1" t="n">
        <v>46223</v>
      </c>
      <c r="E27" s="1" t="n">
        <v>46227</v>
      </c>
      <c r="F27" t="inlineStr">
        <is>
          <t>Norrbottens län</t>
        </is>
      </c>
      <c r="G27" t="inlineStr">
        <is>
          <t>Arjeplog</t>
        </is>
      </c>
      <c r="H27" t="inlineStr">
        <is>
          <t>Övriga statliga verk och myndigheter</t>
        </is>
      </c>
      <c r="I27" t="n">
        <v>676.5</v>
      </c>
      <c r="J27" t="n">
        <v>0</v>
      </c>
      <c r="K27" t="n">
        <v>2</v>
      </c>
      <c r="L27" t="n">
        <v>4</v>
      </c>
      <c r="M27" t="n">
        <v>2</v>
      </c>
      <c r="N27" t="n">
        <v>0</v>
      </c>
      <c r="O27" t="n">
        <v>0</v>
      </c>
      <c r="P27" t="n">
        <v>0</v>
      </c>
      <c r="Q27" t="n">
        <v>6</v>
      </c>
      <c r="R27" t="n">
        <v>2</v>
      </c>
      <c r="S27" t="n">
        <v>8</v>
      </c>
      <c r="T27" t="n">
        <v>14</v>
      </c>
      <c r="U27" t="n">
        <v>0</v>
      </c>
      <c r="V27" s="2" t="inlineStr">
        <is>
          <t>Fläckporing
Gräddporing
Blanksvart spiklav
Dvärgbägarlav
Knottrig blåslav
Vitplätt
Stuplav
Ögonpyrola</t>
        </is>
      </c>
      <c r="W27">
        <f>HYPERLINK("https://klasma.github.io/Logging_FORSKNINGSRESAN_2026_ARJEPLOG/artfynd/Iksjak-Råssnesudden artfynd.xlsx", "Iksjak-Råssnesudden")</f>
        <v/>
      </c>
      <c r="X27">
        <f>HYPERLINK("https://klasma.github.io/Logging_FORSKNINGSRESAN_2026_ARJEPLOG/kartor/Iksjak-Råssnesudden karta.png", "Iksjak-Råssnesudden")</f>
        <v/>
      </c>
      <c r="Y27">
        <f>HYPERLINK("https://klasma.github.io/Logging_FORSKNINGSRESAN_2026_ARJEPLOG/kartor_geotiff/Iksjak-Råssnesudden georefererad karta.tif", "Iksjak-Råssnesudden")</f>
        <v/>
      </c>
      <c r="AA27">
        <f>HYPERLINK("https://klasma.github.io/Logging_FORSKNINGSRESAN_2026_ARJEPLOG/klagomål/Iksjak-Råssnesudden FSC-klagomål.docx", "Iksjak-Råssnesudden")</f>
        <v/>
      </c>
      <c r="AB27">
        <f>HYPERLINK("https://klasma.github.io/Logging_FORSKNINGSRESAN_2026_ARJEPLOG/klagomålsmail/Iksjak-Råssnesudden FSC-klagomål mail.docx", "Iksjak-Råssnesudden")</f>
        <v/>
      </c>
      <c r="AC27">
        <f>HYPERLINK("https://klasma.github.io/Logging_FORSKNINGSRESAN_2026_ARJEPLOG/tillsyn/Iksjak-Råssnesudden tillsynsbegäran.docx", "Iksjak-Råssnesudden")</f>
        <v/>
      </c>
      <c r="AD27">
        <f>HYPERLINK("https://klasma.github.io/Logging_FORSKNINGSRESAN_2026_ARJEPLOG/tillsynsmail/Iksjak-Råssnesudden tillsynsbegäran mail.docx", "Iksjak-Råssnesudden")</f>
        <v/>
      </c>
      <c r="AF27" t="inlineStr">
        <is>
          <t>Obruten skog. 80-90 % genomgallrat. Finast längst kanterna. Finns stor parkering vid vägen.</t>
        </is>
      </c>
      <c r="AG27" t="n">
        <v>1</v>
      </c>
      <c r="AH27" t="inlineStr">
        <is>
          <t>Övriga statliga verk och myndigheter</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2026-07-24T09:16:19Z</dcterms:created>
  <dcterms:modified xmlns:dcterms="http://purl.org/dc/terms/" xmlns:xsi="http://www.w3.org/2001/XMLSchema-instance" xsi:type="dcterms:W3CDTF">2026-07-24T09:16:19Z</dcterms:modified>
</cp:coreProperties>
</file>