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100</v>
      </c>
      <c r="U9" t="n">
        <v>100</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Svanvik SO avvanm</t>
        </is>
      </c>
      <c r="B11" t="inlineStr">
        <is>
          <t>inventeringsområde</t>
        </is>
      </c>
      <c r="D11" s="1" t="n">
        <v>46223</v>
      </c>
      <c r="E11" s="1" t="n">
        <v>46226</v>
      </c>
      <c r="F11" t="inlineStr">
        <is>
          <t>Norrbottens län</t>
        </is>
      </c>
      <c r="G11" t="inlineStr">
        <is>
          <t>Arjeplog</t>
        </is>
      </c>
      <c r="I11" t="n">
        <v>12.9</v>
      </c>
      <c r="J11" t="n">
        <v>6</v>
      </c>
      <c r="K11" t="n">
        <v>11</v>
      </c>
      <c r="L11" t="n">
        <v>15</v>
      </c>
      <c r="M11" t="n">
        <v>4</v>
      </c>
      <c r="N11" t="n">
        <v>0</v>
      </c>
      <c r="O11" t="n">
        <v>0</v>
      </c>
      <c r="P11" t="n">
        <v>0</v>
      </c>
      <c r="Q11" t="n">
        <v>19</v>
      </c>
      <c r="R11" t="n">
        <v>4</v>
      </c>
      <c r="S11" t="n">
        <v>31</v>
      </c>
      <c r="T11" t="n">
        <v>149</v>
      </c>
      <c r="U11" t="n">
        <v>149</v>
      </c>
      <c r="V11" s="2" t="inlineStr">
        <is>
          <t>Garnlav
Gränsticka
Knärot
Lappticka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11">
        <f>HYPERLINK("https://klasma.github.io/Logging_FORSKNINGSRESAN_2026_ARJEPLOG/artfynd/Svanvik SO avvanm artfynd.xlsx", "Svanvik SO avvanm")</f>
        <v/>
      </c>
      <c r="X11">
        <f>HYPERLINK("https://klasma.github.io/Logging_FORSKNINGSRESAN_2026_ARJEPLOG/kartor/Svanvik SO avvanm karta.png", "Svanvik SO avvanm")</f>
        <v/>
      </c>
      <c r="Y11">
        <f>HYPERLINK("https://klasma.github.io/Logging_FORSKNINGSRESAN_2026_ARJEPLOG/kartor_geotiff/Svanvik SO avvanm georefererad karta.tif", "Svanvik SO avvanm")</f>
        <v/>
      </c>
      <c r="Z11">
        <f>HYPERLINK("https://klasma.github.io/Logging_FORSKNINGSRESAN_2026_ARJEPLOG/knärot/Svanvik SO avvanm karta knärot.png", "Svanvik SO avvanm")</f>
        <v/>
      </c>
      <c r="AA11">
        <f>HYPERLINK("https://klasma.github.io/Logging_FORSKNINGSRESAN_2026_ARJEPLOG/klagomål/Svanvik SO avvanm FSC-klagomål.docx", "Svanvik SO avvanm")</f>
        <v/>
      </c>
      <c r="AB11">
        <f>HYPERLINK("https://klasma.github.io/Logging_FORSKNINGSRESAN_2026_ARJEPLOG/klagomålsmail/Svanvik SO avvanm FSC-klagomål mail.docx", "Svanvik SO avvanm")</f>
        <v/>
      </c>
      <c r="AC11">
        <f>HYPERLINK("https://klasma.github.io/Logging_FORSKNINGSRESAN_2026_ARJEPLOG/tillsyn/Svanvik SO avvanm tillsynsbegäran.docx", "Svanvik SO avvanm")</f>
        <v/>
      </c>
      <c r="AD11">
        <f>HYPERLINK("https://klasma.github.io/Logging_FORSKNINGSRESAN_2026_ARJEPLOG/tillsynsmail/Svanvik SO avvanm tillsynsbegäran mail.docx", "Svanvik SO avvanm")</f>
        <v/>
      </c>
      <c r="AE11">
        <f>HYPERLINK("https://klasma.github.io/Logging_FORSKNINGSRESAN_2026_ARJEPLOG/fåglar/Svanvik SO avvanm prioriterade fågelarter.docx", "Svanvik SO avvanm")</f>
        <v/>
      </c>
      <c r="AF11" t="inlineStr">
        <is>
          <t>Grannaturskog</t>
        </is>
      </c>
      <c r="AG11" t="n">
        <v>1</v>
      </c>
      <c r="AH11" t="inlineStr">
        <is>
          <t>Privat</t>
        </is>
      </c>
      <c r="AI11" t="inlineStr">
        <is>
          <t>Dag Gran: Gr 1 (prio 1)</t>
        </is>
      </c>
      <c r="AJ11" t="n">
        <v/>
      </c>
    </row>
    <row r="12" ht="15" customHeight="1">
      <c r="A12" t="inlineStr">
        <is>
          <t>Maskaure Skornjamyran avvanm, 11,2 ha</t>
        </is>
      </c>
      <c r="B12" t="inlineStr">
        <is>
          <t>inventeringsområde</t>
        </is>
      </c>
      <c r="D12" s="1" t="n">
        <v>46223</v>
      </c>
      <c r="E12" s="1" t="n">
        <v>46226</v>
      </c>
      <c r="F12" t="inlineStr">
        <is>
          <t>Norrbottens län</t>
        </is>
      </c>
      <c r="G12" t="inlineStr">
        <is>
          <t>Arjeplog</t>
        </is>
      </c>
      <c r="I12" t="n">
        <v>11.2</v>
      </c>
      <c r="J12" t="n">
        <v>4</v>
      </c>
      <c r="K12" t="n">
        <v>4</v>
      </c>
      <c r="L12" t="n">
        <v>16</v>
      </c>
      <c r="M12" t="n">
        <v>8</v>
      </c>
      <c r="N12" t="n">
        <v>0</v>
      </c>
      <c r="O12" t="n">
        <v>0</v>
      </c>
      <c r="P12" t="n">
        <v>0</v>
      </c>
      <c r="Q12" t="n">
        <v>24</v>
      </c>
      <c r="R12" t="n">
        <v>8</v>
      </c>
      <c r="S12" t="n">
        <v>29</v>
      </c>
      <c r="T12" t="n">
        <v>127</v>
      </c>
      <c r="U12" t="n">
        <v>127</v>
      </c>
      <c r="V12"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2">
        <f>HYPERLINK("https://klasma.github.io/Logging_FORSKNINGSRESAN_2026_ARJEPLOG/artfynd/Maskaure Skornjamyran avvanm, 11,2 ha artfynd.xlsx", "Maskaure Skornjamyran avvanm, 11,2 ha")</f>
        <v/>
      </c>
      <c r="X12">
        <f>HYPERLINK("https://klasma.github.io/Logging_FORSKNINGSRESAN_2026_ARJEPLOG/kartor/Maskaure Skornjamyran avvanm, 11,2 ha karta.png", "Maskaure Skornjamyran avvanm, 11,2 ha")</f>
        <v/>
      </c>
      <c r="Y12">
        <f>HYPERLINK("https://klasma.github.io/Logging_FORSKNINGSRESAN_2026_ARJEPLOG/kartor_geotiff/Maskaure Skornjamyran avvanm, 11,2 ha georefererad karta.tif", "Maskaure Skornjamyran avvanm, 11,2 ha")</f>
        <v/>
      </c>
      <c r="AA12">
        <f>HYPERLINK("https://klasma.github.io/Logging_FORSKNINGSRESAN_2026_ARJEPLOG/klagomål/Maskaure Skornjamyran avvanm, 11,2 ha FSC-klagomål.docx", "Maskaure Skornjamyran avvanm, 11,2 ha")</f>
        <v/>
      </c>
      <c r="AB12">
        <f>HYPERLINK("https://klasma.github.io/Logging_FORSKNINGSRESAN_2026_ARJEPLOG/klagomålsmail/Maskaure Skornjamyran avvanm, 11,2 ha FSC-klagomål mail.docx", "Maskaure Skornjamyran avvanm, 11,2 ha")</f>
        <v/>
      </c>
      <c r="AC12">
        <f>HYPERLINK("https://klasma.github.io/Logging_FORSKNINGSRESAN_2026_ARJEPLOG/tillsyn/Maskaure Skornjamyran avvanm, 11,2 ha tillsynsbegäran.docx", "Maskaure Skornjamyran avvanm, 11,2 ha")</f>
        <v/>
      </c>
      <c r="AD12">
        <f>HYPERLINK("https://klasma.github.io/Logging_FORSKNINGSRESAN_2026_ARJEPLOG/tillsynsmail/Maskaure Skornjamyran avvanm, 11,2 ha tillsynsbegäran mail.docx", "Maskaure Skornjamyran avvanm, 11,2 ha")</f>
        <v/>
      </c>
      <c r="AE12">
        <f>HYPERLINK("https://klasma.github.io/Logging_FORSKNINGSRESAN_2026_ARJEPLOG/fåglar/Maskaure Skornjamyran avvanm, 11,2 ha prioriterade fågelarter.docx", "Maskaure Skornjamyran avvanm, 11,2 ha")</f>
        <v/>
      </c>
      <c r="AF12" t="inlineStr">
        <is>
          <t>mest gran, nyckelbiotop, avvanm</t>
        </is>
      </c>
      <c r="AG12" t="n">
        <v>1</v>
      </c>
      <c r="AH12" t="inlineStr">
        <is>
          <t>Privat</t>
        </is>
      </c>
      <c r="AI12" t="inlineStr">
        <is>
          <t>Ons: Gr 3</t>
        </is>
      </c>
      <c r="AJ12" t="inlineStr">
        <is>
          <t>A 45924-2023</t>
        </is>
      </c>
    </row>
    <row r="13" ht="15" customHeight="1">
      <c r="A13" t="inlineStr">
        <is>
          <t>Bergmyrarna avvanm</t>
        </is>
      </c>
      <c r="B13" t="inlineStr">
        <is>
          <t>inventeringsområde</t>
        </is>
      </c>
      <c r="D13" s="1" t="n">
        <v>46223</v>
      </c>
      <c r="E13" s="1" t="n">
        <v>46226</v>
      </c>
      <c r="F13" t="inlineStr">
        <is>
          <t>Norrbottens län</t>
        </is>
      </c>
      <c r="G13" t="inlineStr">
        <is>
          <t>Arjeplog</t>
        </is>
      </c>
      <c r="H13" t="inlineStr">
        <is>
          <t>Allmännings- och besparingsskogar</t>
        </is>
      </c>
      <c r="I13" t="n">
        <v>17.7</v>
      </c>
      <c r="J13" t="n">
        <v>8</v>
      </c>
      <c r="K13" t="n">
        <v>8</v>
      </c>
      <c r="L13" t="n">
        <v>15</v>
      </c>
      <c r="M13" t="n">
        <v>3</v>
      </c>
      <c r="N13" t="n">
        <v>0</v>
      </c>
      <c r="O13" t="n">
        <v>0</v>
      </c>
      <c r="P13" t="n">
        <v>0</v>
      </c>
      <c r="Q13" t="n">
        <v>18</v>
      </c>
      <c r="R13" t="n">
        <v>3</v>
      </c>
      <c r="S13" t="n">
        <v>28</v>
      </c>
      <c r="T13" t="n">
        <v>212</v>
      </c>
      <c r="U13" t="n">
        <v>212</v>
      </c>
      <c r="V13" s="2" t="inlineStr">
        <is>
          <t>Doftticka
Garnlav
Gränsticka
Blanksvart spiklav
Duvhök
Dvärgbägarlav
Gammelgransskål
Knottrig blåslav
Rödbrun blekspik
Stjärntagging
Talltita
Tretåig hackspett
Ullticka
Vedskivlav
Vedtrappmossa
Violmussling
Vitgrynig nållav
Älg
Bronshjon
Bårdlav
Korallrot
Luddlav
Norrlandslav
Spindelblomster
Stuplav
Vågbandad barkbock
Spillkråka
Tjäder</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46226</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46226</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2026-07-23T20:23:40Z</dcterms:created>
  <dcterms:modified xmlns:dcterms="http://purl.org/dc/terms/" xmlns:xsi="http://www.w3.org/2001/XMLSchema-instance" xsi:type="dcterms:W3CDTF">2026-07-23T20:23:41Z</dcterms:modified>
</cp:coreProperties>
</file>