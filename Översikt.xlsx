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9</v>
      </c>
      <c r="K2" t="n">
        <v>14</v>
      </c>
      <c r="L2" t="n">
        <v>25</v>
      </c>
      <c r="M2" t="n">
        <v>13</v>
      </c>
      <c r="N2" t="n">
        <v>0</v>
      </c>
      <c r="O2" t="n">
        <v>0</v>
      </c>
      <c r="P2" t="n">
        <v>0</v>
      </c>
      <c r="Q2" t="n">
        <v>38</v>
      </c>
      <c r="R2" t="n">
        <v>13</v>
      </c>
      <c r="S2" t="n">
        <v>64</v>
      </c>
      <c r="T2" t="n">
        <v>345</v>
      </c>
      <c r="U2" t="n">
        <v>345</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Harticka
Knottrig blåslav
Lavskrika
Liten svartspik
Lunglav
Nordlig nållav
Rosenticka
Rostania pallida
Rynkskinn
Rödbrun blekspik
Skrovellav
Stjärntagging
Talltita
Tretåig hackspett
Ullticka
Vedflamlav
Vedskivlav
Vitgrynig nållav
Barkticka
Blodticka
Bårdlav
Grönkulla
Gulnål
Korallrot
Källpraktmossa
Luddlav
Rostfläck
Spindelblomster
Stuplav
Tibast
Vedticka
Ögonpyrola
Bergsslok
Brudborste
Ekbräken
Humleblomster
Kärrfibbla
Lundarv
Nordisk stormhatt
Ormbär
Spillkråka
Tjäder
Torta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Muorkenåive-Ássjátj S</t>
        </is>
      </c>
      <c r="B3" t="inlineStr">
        <is>
          <t>inventeringsområde</t>
        </is>
      </c>
      <c r="D3" s="1" t="n">
        <v>46223</v>
      </c>
      <c r="E3" s="1" t="n">
        <v>46226</v>
      </c>
      <c r="F3" t="inlineStr">
        <is>
          <t>Norrbottens län</t>
        </is>
      </c>
      <c r="G3" t="inlineStr">
        <is>
          <t>Arjeplog</t>
        </is>
      </c>
      <c r="I3" t="n">
        <v>113.6</v>
      </c>
      <c r="J3" t="n">
        <v>8</v>
      </c>
      <c r="K3" t="n">
        <v>14</v>
      </c>
      <c r="L3" t="n">
        <v>19</v>
      </c>
      <c r="M3" t="n">
        <v>8</v>
      </c>
      <c r="N3" t="n">
        <v>1</v>
      </c>
      <c r="O3" t="n">
        <v>0</v>
      </c>
      <c r="P3" t="n">
        <v>0</v>
      </c>
      <c r="Q3" t="n">
        <v>28</v>
      </c>
      <c r="R3" t="n">
        <v>9</v>
      </c>
      <c r="S3" t="n">
        <v>52</v>
      </c>
      <c r="T3" t="n">
        <v>304</v>
      </c>
      <c r="U3" t="n">
        <v>292</v>
      </c>
      <c r="V3" s="2" t="inlineStr">
        <is>
          <t>Isabellporing
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3">
        <f>HYPERLINK("https://klasma.github.io/Logging_FORSKNINGSRESAN_2026_ARJEPLOG/artfynd/Muorkenåive-Ássjátj S artfynd.xlsx", "Muorkenåive-Ássjátj S")</f>
        <v/>
      </c>
      <c r="X3">
        <f>HYPERLINK("https://klasma.github.io/Logging_FORSKNINGSRESAN_2026_ARJEPLOG/kartor/Muorkenåive-Ássjátj S karta.png", "Muorkenåive-Ássjátj S")</f>
        <v/>
      </c>
      <c r="Y3">
        <f>HYPERLINK("https://klasma.github.io/Logging_FORSKNINGSRESAN_2026_ARJEPLOG/kartor_geotiff/Muorkenåive-Ássjátj S georefererad karta.tif", "Muorkenåive-Ássjátj S")</f>
        <v/>
      </c>
      <c r="AA3">
        <f>HYPERLINK("https://klasma.github.io/Logging_FORSKNINGSRESAN_2026_ARJEPLOG/klagomål/Muorkenåive-Ássjátj S FSC-klagomål.docx", "Muorkenåive-Ássjátj S")</f>
        <v/>
      </c>
      <c r="AB3">
        <f>HYPERLINK("https://klasma.github.io/Logging_FORSKNINGSRESAN_2026_ARJEPLOG/klagomålsmail/Muorkenåive-Ássjátj S FSC-klagomål mail.docx", "Muorkenåive-Ássjátj S")</f>
        <v/>
      </c>
      <c r="AC3">
        <f>HYPERLINK("https://klasma.github.io/Logging_FORSKNINGSRESAN_2026_ARJEPLOG/tillsyn/Muorkenåive-Ássjátj S tillsynsbegäran.docx", "Muorkenåive-Ássjátj S")</f>
        <v/>
      </c>
      <c r="AD3">
        <f>HYPERLINK("https://klasma.github.io/Logging_FORSKNINGSRESAN_2026_ARJEPLOG/tillsynsmail/Muorkenåive-Ássjátj S tillsynsbegäran mail.docx", "Muorkenåive-Ássjátj S")</f>
        <v/>
      </c>
      <c r="AE3">
        <f>HYPERLINK("https://klasma.github.io/Logging_FORSKNINGSRESAN_2026_ARJEPLOG/fåglar/Muorkenåive-Ássjátj S prioriterade fågelarter.docx", "Muorkenåive-Ássjátj S")</f>
        <v/>
      </c>
      <c r="AF3" t="inlineStr">
        <is>
          <t>Slagit samman Muorkenåive-privat med Assjatj-privat (lilla) till ett objekt efter fältgenomgång. /FF Behöver inte finkamma, men bra att få in några fynd. kommer avvanm hela tiden.</t>
        </is>
      </c>
      <c r="AG3" t="n">
        <v>1</v>
      </c>
      <c r="AH3" t="inlineStr">
        <is>
          <t>Privat</t>
        </is>
      </c>
      <c r="AI3" t="inlineStr">
        <is>
          <t>Dag Gran: Gr 3</t>
        </is>
      </c>
      <c r="AJ3" t="n">
        <v/>
      </c>
    </row>
    <row r="4" ht="15" customHeight="1">
      <c r="A4" t="inlineStr">
        <is>
          <t>Laisdalen Björkliden</t>
        </is>
      </c>
      <c r="B4" t="inlineStr">
        <is>
          <t>inventeringsområde</t>
        </is>
      </c>
      <c r="D4" s="1" t="n">
        <v>46223</v>
      </c>
      <c r="E4" s="1" t="n">
        <v>46226</v>
      </c>
      <c r="F4" t="inlineStr">
        <is>
          <t>Norrbottens län</t>
        </is>
      </c>
      <c r="G4" t="inlineStr">
        <is>
          <t>Arjeplog</t>
        </is>
      </c>
      <c r="H4" t="inlineStr">
        <is>
          <t>Övriga statliga verk och myndigheter</t>
        </is>
      </c>
      <c r="I4" t="n">
        <v>119.1</v>
      </c>
      <c r="J4" t="n">
        <v>13</v>
      </c>
      <c r="K4" t="n">
        <v>11</v>
      </c>
      <c r="L4" t="n">
        <v>18</v>
      </c>
      <c r="M4" t="n">
        <v>8</v>
      </c>
      <c r="N4" t="n">
        <v>0</v>
      </c>
      <c r="O4" t="n">
        <v>0</v>
      </c>
      <c r="P4" t="n">
        <v>0</v>
      </c>
      <c r="Q4" t="n">
        <v>26</v>
      </c>
      <c r="R4" t="n">
        <v>8</v>
      </c>
      <c r="S4" t="n">
        <v>50</v>
      </c>
      <c r="T4" t="n">
        <v>372</v>
      </c>
      <c r="U4" t="n">
        <v>336</v>
      </c>
      <c r="V4" s="2" t="inlineStr">
        <is>
          <t>Garnlav
Grantickeporing
Gränsticka
Knärot
Lappticka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Maskaure Tsågávrrie avvanm, 17,8 ha</t>
        </is>
      </c>
      <c r="B9" t="inlineStr">
        <is>
          <t>inventeringsområde</t>
        </is>
      </c>
      <c r="D9" s="1" t="n">
        <v>46223</v>
      </c>
      <c r="E9" s="1" t="n">
        <v>46226</v>
      </c>
      <c r="F9" t="inlineStr">
        <is>
          <t>Norrbottens län</t>
        </is>
      </c>
      <c r="G9" t="inlineStr">
        <is>
          <t>Arjeplog</t>
        </is>
      </c>
      <c r="I9" t="n">
        <v>17.8</v>
      </c>
      <c r="J9" t="n">
        <v>7</v>
      </c>
      <c r="K9" t="n">
        <v>10</v>
      </c>
      <c r="L9" t="n">
        <v>17</v>
      </c>
      <c r="M9" t="n">
        <v>3</v>
      </c>
      <c r="N9" t="n">
        <v>0</v>
      </c>
      <c r="O9" t="n">
        <v>0</v>
      </c>
      <c r="P9" t="n">
        <v>0</v>
      </c>
      <c r="Q9" t="n">
        <v>20</v>
      </c>
      <c r="R9" t="n">
        <v>3</v>
      </c>
      <c r="S9" t="n">
        <v>33</v>
      </c>
      <c r="T9" t="n">
        <v>100</v>
      </c>
      <c r="U9" t="n">
        <v>100</v>
      </c>
      <c r="V9"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9">
        <f>HYPERLINK("https://klasma.github.io/Logging_FORSKNINGSRESAN_2026_ARJEPLOG/artfynd/Maskaure Tsågávrrie avvanm, 17,8 ha artfynd.xlsx", "Maskaure Tsågávrrie avvanm, 17,8 ha")</f>
        <v/>
      </c>
      <c r="X9">
        <f>HYPERLINK("https://klasma.github.io/Logging_FORSKNINGSRESAN_2026_ARJEPLOG/kartor/Maskaure Tsågávrrie avvanm, 17,8 ha karta.png", "Maskaure Tsågávrrie avvanm, 17,8 ha")</f>
        <v/>
      </c>
      <c r="Y9">
        <f>HYPERLINK("https://klasma.github.io/Logging_FORSKNINGSRESAN_2026_ARJEPLOG/kartor_geotiff/Maskaure Tsågávrrie avvanm, 17,8 ha georefererad karta.tif", "Maskaure Tsågávrrie avvanm, 17,8 ha")</f>
        <v/>
      </c>
      <c r="AA9">
        <f>HYPERLINK("https://klasma.github.io/Logging_FORSKNINGSRESAN_2026_ARJEPLOG/klagomål/Maskaure Tsågávrrie avvanm, 17,8 ha FSC-klagomål.docx", "Maskaure Tsågávrrie avvanm, 17,8 ha")</f>
        <v/>
      </c>
      <c r="AB9">
        <f>HYPERLINK("https://klasma.github.io/Logging_FORSKNINGSRESAN_2026_ARJEPLOG/klagomålsmail/Maskaure Tsågávrrie avvanm, 17,8 ha FSC-klagomål mail.docx", "Maskaure Tsågávrrie avvanm, 17,8 ha")</f>
        <v/>
      </c>
      <c r="AC9">
        <f>HYPERLINK("https://klasma.github.io/Logging_FORSKNINGSRESAN_2026_ARJEPLOG/tillsyn/Maskaure Tsågávrrie avvanm, 17,8 ha tillsynsbegäran.docx", "Maskaure Tsågávrrie avvanm, 17,8 ha")</f>
        <v/>
      </c>
      <c r="AD9">
        <f>HYPERLINK("https://klasma.github.io/Logging_FORSKNINGSRESAN_2026_ARJEPLOG/tillsynsmail/Maskaure Tsågávrrie avvanm, 17,8 ha tillsynsbegäran mail.docx", "Maskaure Tsågávrrie avvanm, 17,8 ha")</f>
        <v/>
      </c>
      <c r="AE9">
        <f>HYPERLINK("https://klasma.github.io/Logging_FORSKNINGSRESAN_2026_ARJEPLOG/fåglar/Maskaure Tsågávrrie avvanm, 17,8 ha prioriterade fågelarter.docx", "Maskaure Tsågávrrie avvanm, 17,8 ha")</f>
        <v/>
      </c>
      <c r="AF9" t="inlineStr">
        <is>
          <t>avvanm</t>
        </is>
      </c>
      <c r="AG9" t="n">
        <v>1</v>
      </c>
      <c r="AH9" t="inlineStr">
        <is>
          <t>Privat</t>
        </is>
      </c>
      <c r="AI9" t="inlineStr">
        <is>
          <t>Ons: Gr 2 (prio 3)</t>
        </is>
      </c>
      <c r="AJ9" t="inlineStr">
        <is>
          <t>A 64809-2023</t>
        </is>
      </c>
    </row>
    <row r="10" ht="15" customHeight="1">
      <c r="A10" t="inlineStr">
        <is>
          <t>Västra Kikkejaure korsningen Långviken avvanm</t>
        </is>
      </c>
      <c r="B10" t="inlineStr">
        <is>
          <t>inventeringsområde</t>
        </is>
      </c>
      <c r="D10" s="1" t="n">
        <v>46223</v>
      </c>
      <c r="E10" s="1" t="n">
        <v>46226</v>
      </c>
      <c r="F10" t="inlineStr">
        <is>
          <t>Norrbottens län</t>
        </is>
      </c>
      <c r="G10" t="inlineStr">
        <is>
          <t>Arjeplog</t>
        </is>
      </c>
      <c r="H10" t="inlineStr">
        <is>
          <t>Allmännings- och besparingsskogar</t>
        </is>
      </c>
      <c r="I10" t="n">
        <v>25.5</v>
      </c>
      <c r="J10" t="n">
        <v>4</v>
      </c>
      <c r="K10" t="n">
        <v>4</v>
      </c>
      <c r="L10" t="n">
        <v>20</v>
      </c>
      <c r="M10" t="n">
        <v>5</v>
      </c>
      <c r="N10" t="n">
        <v>1</v>
      </c>
      <c r="O10" t="n">
        <v>0</v>
      </c>
      <c r="P10" t="n">
        <v>0</v>
      </c>
      <c r="Q10" t="n">
        <v>26</v>
      </c>
      <c r="R10" t="n">
        <v>6</v>
      </c>
      <c r="S10" t="n">
        <v>32</v>
      </c>
      <c r="T10" t="n">
        <v>188</v>
      </c>
      <c r="U10" t="n">
        <v>188</v>
      </c>
      <c r="V1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0">
        <f>HYPERLINK("https://klasma.github.io/Logging_FORSKNINGSRESAN_2026_ARJEPLOG/artfynd/Västra Kikkejaure korsningen Långviken avvanm artfynd.xlsx", "Västra Kikkejaure korsningen Långviken avvanm")</f>
        <v/>
      </c>
      <c r="X10">
        <f>HYPERLINK("https://klasma.github.io/Logging_FORSKNINGSRESAN_2026_ARJEPLOG/kartor/Västra Kikkejaure korsningen Långviken avvanm karta.png", "Västra Kikkejaure korsningen Långviken avvanm")</f>
        <v/>
      </c>
      <c r="Y10">
        <f>HYPERLINK("https://klasma.github.io/Logging_FORSKNINGSRESAN_2026_ARJEPLOG/kartor_geotiff/Västra Kikkejaure korsningen Långviken avvanm georefererad karta.tif", "Västra Kikkejaure korsningen Långviken avvanm")</f>
        <v/>
      </c>
      <c r="AA10">
        <f>HYPERLINK("https://klasma.github.io/Logging_FORSKNINGSRESAN_2026_ARJEPLOG/klagomål/Västra Kikkejaure korsningen Långviken avvanm FSC-klagomål.docx", "Västra Kikkejaure korsningen Långviken avvanm")</f>
        <v/>
      </c>
      <c r="AB10">
        <f>HYPERLINK("https://klasma.github.io/Logging_FORSKNINGSRESAN_2026_ARJEPLOG/klagomålsmail/Västra Kikkejaure korsningen Långviken avvanm FSC-klagomål mail.docx", "Västra Kikkejaure korsningen Långviken avvanm")</f>
        <v/>
      </c>
      <c r="AC10">
        <f>HYPERLINK("https://klasma.github.io/Logging_FORSKNINGSRESAN_2026_ARJEPLOG/tillsyn/Västra Kikkejaure korsningen Långviken avvanm tillsynsbegäran.docx", "Västra Kikkejaure korsningen Långviken avvanm")</f>
        <v/>
      </c>
      <c r="AD10">
        <f>HYPERLINK("https://klasma.github.io/Logging_FORSKNINGSRESAN_2026_ARJEPLOG/tillsynsmail/Västra Kikkejaure korsningen Långviken avvanm tillsynsbegäran mail.docx", "Västra Kikkejaure korsningen Långviken avvanm")</f>
        <v/>
      </c>
      <c r="AE10">
        <f>HYPERLINK("https://klasma.github.io/Logging_FORSKNINGSRESAN_2026_ARJEPLOG/fåglar/Västra Kikkejaure korsningen Långviken avvanm prioriterade fågelarter.docx", "Västra Kikkejaure korsningen Långviken avvanm")</f>
        <v/>
      </c>
      <c r="AF10" t="inlineStr">
        <is>
          <t>avvanm, tallnaturskog med silverved</t>
        </is>
      </c>
      <c r="AG10" t="n">
        <v>1</v>
      </c>
      <c r="AH10" t="inlineStr">
        <is>
          <t>Allmännings- och besparingsskogar</t>
        </is>
      </c>
      <c r="AI10" t="inlineStr">
        <is>
          <t>Tis: Gr 2 (prio 1)</t>
        </is>
      </c>
      <c r="AJ10" t="inlineStr">
        <is>
          <t>A 45924-2023</t>
        </is>
      </c>
    </row>
    <row r="11" ht="15" customHeight="1">
      <c r="A11" t="inlineStr">
        <is>
          <t>Svanvik SO avvanm</t>
        </is>
      </c>
      <c r="B11" t="inlineStr">
        <is>
          <t>inventeringsområde</t>
        </is>
      </c>
      <c r="D11" s="1" t="n">
        <v>46223</v>
      </c>
      <c r="E11" s="1" t="n">
        <v>46226</v>
      </c>
      <c r="F11" t="inlineStr">
        <is>
          <t>Norrbottens län</t>
        </is>
      </c>
      <c r="G11" t="inlineStr">
        <is>
          <t>Arjeplog</t>
        </is>
      </c>
      <c r="I11" t="n">
        <v>12.9</v>
      </c>
      <c r="J11" t="n">
        <v>6</v>
      </c>
      <c r="K11" t="n">
        <v>11</v>
      </c>
      <c r="L11" t="n">
        <v>15</v>
      </c>
      <c r="M11" t="n">
        <v>4</v>
      </c>
      <c r="N11" t="n">
        <v>0</v>
      </c>
      <c r="O11" t="n">
        <v>0</v>
      </c>
      <c r="P11" t="n">
        <v>0</v>
      </c>
      <c r="Q11" t="n">
        <v>19</v>
      </c>
      <c r="R11" t="n">
        <v>4</v>
      </c>
      <c r="S11" t="n">
        <v>31</v>
      </c>
      <c r="T11" t="n">
        <v>149</v>
      </c>
      <c r="U11" t="n">
        <v>149</v>
      </c>
      <c r="V11" s="2" t="inlineStr">
        <is>
          <t>Garnlav
Gränsticka
Knärot
Lappticka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11">
        <f>HYPERLINK("https://klasma.github.io/Logging_FORSKNINGSRESAN_2026_ARJEPLOG/artfynd/Svanvik SO avvanm artfynd.xlsx", "Svanvik SO avvanm")</f>
        <v/>
      </c>
      <c r="X11">
        <f>HYPERLINK("https://klasma.github.io/Logging_FORSKNINGSRESAN_2026_ARJEPLOG/kartor/Svanvik SO avvanm karta.png", "Svanvik SO avvanm")</f>
        <v/>
      </c>
      <c r="Y11">
        <f>HYPERLINK("https://klasma.github.io/Logging_FORSKNINGSRESAN_2026_ARJEPLOG/kartor_geotiff/Svanvik SO avvanm georefererad karta.tif", "Svanvik SO avvanm")</f>
        <v/>
      </c>
      <c r="Z11">
        <f>HYPERLINK("https://klasma.github.io/Logging_FORSKNINGSRESAN_2026_ARJEPLOG/knärot/Svanvik SO avvanm karta knärot.png", "Svanvik SO avvanm")</f>
        <v/>
      </c>
      <c r="AA11">
        <f>HYPERLINK("https://klasma.github.io/Logging_FORSKNINGSRESAN_2026_ARJEPLOG/klagomål/Svanvik SO avvanm FSC-klagomål.docx", "Svanvik SO avvanm")</f>
        <v/>
      </c>
      <c r="AB11">
        <f>HYPERLINK("https://klasma.github.io/Logging_FORSKNINGSRESAN_2026_ARJEPLOG/klagomålsmail/Svanvik SO avvanm FSC-klagomål mail.docx", "Svanvik SO avvanm")</f>
        <v/>
      </c>
      <c r="AC11">
        <f>HYPERLINK("https://klasma.github.io/Logging_FORSKNINGSRESAN_2026_ARJEPLOG/tillsyn/Svanvik SO avvanm tillsynsbegäran.docx", "Svanvik SO avvanm")</f>
        <v/>
      </c>
      <c r="AD11">
        <f>HYPERLINK("https://klasma.github.io/Logging_FORSKNINGSRESAN_2026_ARJEPLOG/tillsynsmail/Svanvik SO avvanm tillsynsbegäran mail.docx", "Svanvik SO avvanm")</f>
        <v/>
      </c>
      <c r="AE11">
        <f>HYPERLINK("https://klasma.github.io/Logging_FORSKNINGSRESAN_2026_ARJEPLOG/fåglar/Svanvik SO avvanm prioriterade fågelarter.docx", "Svanvik SO avvanm")</f>
        <v/>
      </c>
      <c r="AF11" t="inlineStr">
        <is>
          <t>Grannaturskog</t>
        </is>
      </c>
      <c r="AG11" t="n">
        <v>1</v>
      </c>
      <c r="AH11" t="inlineStr">
        <is>
          <t>Privat</t>
        </is>
      </c>
      <c r="AI11" t="inlineStr">
        <is>
          <t>Dag Gran: Gr 1 (prio 1)</t>
        </is>
      </c>
      <c r="AJ11" t="n">
        <v/>
      </c>
    </row>
    <row r="12" ht="15" customHeight="1">
      <c r="A12" t="inlineStr">
        <is>
          <t>Maskaure Skornjamyran avvanm, 11,2 ha</t>
        </is>
      </c>
      <c r="B12" t="inlineStr">
        <is>
          <t>inventeringsområde</t>
        </is>
      </c>
      <c r="D12" s="1" t="n">
        <v>46223</v>
      </c>
      <c r="E12" s="1" t="n">
        <v>46226</v>
      </c>
      <c r="F12" t="inlineStr">
        <is>
          <t>Norrbottens län</t>
        </is>
      </c>
      <c r="G12" t="inlineStr">
        <is>
          <t>Arjeplog</t>
        </is>
      </c>
      <c r="I12" t="n">
        <v>11.2</v>
      </c>
      <c r="J12" t="n">
        <v>4</v>
      </c>
      <c r="K12" t="n">
        <v>4</v>
      </c>
      <c r="L12" t="n">
        <v>16</v>
      </c>
      <c r="M12" t="n">
        <v>8</v>
      </c>
      <c r="N12" t="n">
        <v>0</v>
      </c>
      <c r="O12" t="n">
        <v>0</v>
      </c>
      <c r="P12" t="n">
        <v>0</v>
      </c>
      <c r="Q12" t="n">
        <v>24</v>
      </c>
      <c r="R12" t="n">
        <v>8</v>
      </c>
      <c r="S12" t="n">
        <v>29</v>
      </c>
      <c r="T12" t="n">
        <v>127</v>
      </c>
      <c r="U12" t="n">
        <v>127</v>
      </c>
      <c r="V12"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2">
        <f>HYPERLINK("https://klasma.github.io/Logging_FORSKNINGSRESAN_2026_ARJEPLOG/artfynd/Maskaure Skornjamyran avvanm, 11,2 ha artfynd.xlsx", "Maskaure Skornjamyran avvanm, 11,2 ha")</f>
        <v/>
      </c>
      <c r="X12">
        <f>HYPERLINK("https://klasma.github.io/Logging_FORSKNINGSRESAN_2026_ARJEPLOG/kartor/Maskaure Skornjamyran avvanm, 11,2 ha karta.png", "Maskaure Skornjamyran avvanm, 11,2 ha")</f>
        <v/>
      </c>
      <c r="Y12">
        <f>HYPERLINK("https://klasma.github.io/Logging_FORSKNINGSRESAN_2026_ARJEPLOG/kartor_geotiff/Maskaure Skornjamyran avvanm, 11,2 ha georefererad karta.tif", "Maskaure Skornjamyran avvanm, 11,2 ha")</f>
        <v/>
      </c>
      <c r="AA12">
        <f>HYPERLINK("https://klasma.github.io/Logging_FORSKNINGSRESAN_2026_ARJEPLOG/klagomål/Maskaure Skornjamyran avvanm, 11,2 ha FSC-klagomål.docx", "Maskaure Skornjamyran avvanm, 11,2 ha")</f>
        <v/>
      </c>
      <c r="AB12">
        <f>HYPERLINK("https://klasma.github.io/Logging_FORSKNINGSRESAN_2026_ARJEPLOG/klagomålsmail/Maskaure Skornjamyran avvanm, 11,2 ha FSC-klagomål mail.docx", "Maskaure Skornjamyran avvanm, 11,2 ha")</f>
        <v/>
      </c>
      <c r="AC12">
        <f>HYPERLINK("https://klasma.github.io/Logging_FORSKNINGSRESAN_2026_ARJEPLOG/tillsyn/Maskaure Skornjamyran avvanm, 11,2 ha tillsynsbegäran.docx", "Maskaure Skornjamyran avvanm, 11,2 ha")</f>
        <v/>
      </c>
      <c r="AD12">
        <f>HYPERLINK("https://klasma.github.io/Logging_FORSKNINGSRESAN_2026_ARJEPLOG/tillsynsmail/Maskaure Skornjamyran avvanm, 11,2 ha tillsynsbegäran mail.docx", "Maskaure Skornjamyran avvanm, 11,2 ha")</f>
        <v/>
      </c>
      <c r="AE12">
        <f>HYPERLINK("https://klasma.github.io/Logging_FORSKNINGSRESAN_2026_ARJEPLOG/fåglar/Maskaure Skornjamyran avvanm, 11,2 ha prioriterade fågelarter.docx", "Maskaure Skornjamyran avvanm, 11,2 ha")</f>
        <v/>
      </c>
      <c r="AF12" t="inlineStr">
        <is>
          <t>mest gran, nyckelbiotop, avvanm</t>
        </is>
      </c>
      <c r="AG12" t="n">
        <v>1</v>
      </c>
      <c r="AH12" t="inlineStr">
        <is>
          <t>Privat</t>
        </is>
      </c>
      <c r="AI12" t="inlineStr">
        <is>
          <t>Ons: Gr 3</t>
        </is>
      </c>
      <c r="AJ12" t="inlineStr">
        <is>
          <t>A 45924-2023</t>
        </is>
      </c>
    </row>
    <row r="13" ht="15" customHeight="1">
      <c r="A13" t="inlineStr">
        <is>
          <t>Bergmyrarna avvanm</t>
        </is>
      </c>
      <c r="B13" t="inlineStr">
        <is>
          <t>inventeringsområde</t>
        </is>
      </c>
      <c r="D13" s="1" t="n">
        <v>46223</v>
      </c>
      <c r="E13" s="1" t="n">
        <v>46226</v>
      </c>
      <c r="F13" t="inlineStr">
        <is>
          <t>Norrbottens län</t>
        </is>
      </c>
      <c r="G13" t="inlineStr">
        <is>
          <t>Arjeplog</t>
        </is>
      </c>
      <c r="H13" t="inlineStr">
        <is>
          <t>Allmännings- och besparingsskogar</t>
        </is>
      </c>
      <c r="I13" t="n">
        <v>17.7</v>
      </c>
      <c r="J13" t="n">
        <v>8</v>
      </c>
      <c r="K13" t="n">
        <v>8</v>
      </c>
      <c r="L13" t="n">
        <v>15</v>
      </c>
      <c r="M13" t="n">
        <v>3</v>
      </c>
      <c r="N13" t="n">
        <v>0</v>
      </c>
      <c r="O13" t="n">
        <v>0</v>
      </c>
      <c r="P13" t="n">
        <v>0</v>
      </c>
      <c r="Q13" t="n">
        <v>18</v>
      </c>
      <c r="R13" t="n">
        <v>3</v>
      </c>
      <c r="S13" t="n">
        <v>28</v>
      </c>
      <c r="T13" t="n">
        <v>212</v>
      </c>
      <c r="U13" t="n">
        <v>212</v>
      </c>
      <c r="V13" s="2" t="inlineStr">
        <is>
          <t>Doftticka
Garnlav
Gränsticka
Blanksvart spiklav
Duvhök
Dvärgbägarlav
Gammelgransskål
Knottrig blåslav
Rödbrun blekspik
Stjärntagging
Talltita
Tretåig hackspett
Ullticka
Vedskivlav
Vedtrappmossa
Violmussling
Vitgrynig nållav
Älg
Bronshjon
Bårdlav
Korallrot
Luddlav
Norrlandslav
Spindelblomster
Stuplav
Vågbandad barkbock
Spillkråka
Tjäder</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46226</v>
      </c>
      <c r="F14" t="inlineStr">
        <is>
          <t>Norrbottens län</t>
        </is>
      </c>
      <c r="G14" t="inlineStr">
        <is>
          <t>Arjeplog</t>
        </is>
      </c>
      <c r="I14" t="n">
        <v>4.6</v>
      </c>
      <c r="J14" t="n">
        <v>3</v>
      </c>
      <c r="K14" t="n">
        <v>3</v>
      </c>
      <c r="L14" t="n">
        <v>17</v>
      </c>
      <c r="M14" t="n">
        <v>5</v>
      </c>
      <c r="N14" t="n">
        <v>0</v>
      </c>
      <c r="O14" t="n">
        <v>0</v>
      </c>
      <c r="P14" t="n">
        <v>0</v>
      </c>
      <c r="Q14" t="n">
        <v>22</v>
      </c>
      <c r="R14" t="n">
        <v>5</v>
      </c>
      <c r="S14" t="n">
        <v>26</v>
      </c>
      <c r="T14" t="n">
        <v>106</v>
      </c>
      <c r="U14" t="n">
        <v>106</v>
      </c>
      <c r="V14"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Västra Kikkejaure Rengärdet avvanm</t>
        </is>
      </c>
      <c r="B15" t="inlineStr">
        <is>
          <t>inventeringsområde</t>
        </is>
      </c>
      <c r="D15" s="1" t="n">
        <v>46223</v>
      </c>
      <c r="E15" s="1" t="n">
        <v>46226</v>
      </c>
      <c r="F15" t="inlineStr">
        <is>
          <t>Norrbottens län</t>
        </is>
      </c>
      <c r="G15" t="inlineStr">
        <is>
          <t>Arjeplog</t>
        </is>
      </c>
      <c r="H15" t="inlineStr">
        <is>
          <t>Allmännings- och besparingsskogar</t>
        </is>
      </c>
      <c r="I15" t="n">
        <v>10.4</v>
      </c>
      <c r="J15" t="n">
        <v>5</v>
      </c>
      <c r="K15" t="n">
        <v>3</v>
      </c>
      <c r="L15" t="n">
        <v>18</v>
      </c>
      <c r="M15" t="n">
        <v>3</v>
      </c>
      <c r="N15" t="n">
        <v>0</v>
      </c>
      <c r="O15" t="n">
        <v>0</v>
      </c>
      <c r="P15" t="n">
        <v>0</v>
      </c>
      <c r="Q15" t="n">
        <v>21</v>
      </c>
      <c r="R15" t="n">
        <v>3</v>
      </c>
      <c r="S15" t="n">
        <v>26</v>
      </c>
      <c r="T15" t="n">
        <v>95</v>
      </c>
      <c r="U15" t="n">
        <v>61</v>
      </c>
      <c r="V1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5">
        <f>HYPERLINK("https://klasma.github.io/Logging_FORSKNINGSRESAN_2026_ARJEPLOG/artfynd/Västra Kikkejaure Rengärdet avvanm artfynd.xlsx", "Västra Kikkejaure Rengärdet avvanm")</f>
        <v/>
      </c>
      <c r="X15">
        <f>HYPERLINK("https://klasma.github.io/Logging_FORSKNINGSRESAN_2026_ARJEPLOG/kartor/Västra Kikkejaure Rengärdet avvanm karta.png", "Västra Kikkejaure Rengärdet avvanm")</f>
        <v/>
      </c>
      <c r="Y15">
        <f>HYPERLINK("https://klasma.github.io/Logging_FORSKNINGSRESAN_2026_ARJEPLOG/kartor_geotiff/Västra Kikkejaure Rengärdet avvanm georefererad karta.tif", "Västra Kikkejaure Rengärdet avvanm")</f>
        <v/>
      </c>
      <c r="AA15">
        <f>HYPERLINK("https://klasma.github.io/Logging_FORSKNINGSRESAN_2026_ARJEPLOG/klagomål/Västra Kikkejaure Rengärdet avvanm FSC-klagomål.docx", "Västra Kikkejaure Rengärdet avvanm")</f>
        <v/>
      </c>
      <c r="AB15">
        <f>HYPERLINK("https://klasma.github.io/Logging_FORSKNINGSRESAN_2026_ARJEPLOG/klagomålsmail/Västra Kikkejaure Rengärdet avvanm FSC-klagomål mail.docx", "Västra Kikkejaure Rengärdet avvanm")</f>
        <v/>
      </c>
      <c r="AC15">
        <f>HYPERLINK("https://klasma.github.io/Logging_FORSKNINGSRESAN_2026_ARJEPLOG/tillsyn/Västra Kikkejaure Rengärdet avvanm tillsynsbegäran.docx", "Västra Kikkejaure Rengärdet avvanm")</f>
        <v/>
      </c>
      <c r="AD15">
        <f>HYPERLINK("https://klasma.github.io/Logging_FORSKNINGSRESAN_2026_ARJEPLOG/tillsynsmail/Västra Kikkejaure Rengärdet avvanm tillsynsbegäran mail.docx", "Västra Kikkejaure Rengärdet avvanm")</f>
        <v/>
      </c>
      <c r="AE15">
        <f>HYPERLINK("https://klasma.github.io/Logging_FORSKNINGSRESAN_2026_ARJEPLOG/fåglar/Västra Kikkejaure Rengärdet avvanm prioriterade fågelarter.docx", "Västra Kikkejaure Rengärdet avvanm")</f>
        <v/>
      </c>
      <c r="AF15" t="inlineStr">
        <is>
          <t>Delvis inventerad av Fältbiologerna, komplettera! avvanm</t>
        </is>
      </c>
      <c r="AG15" t="n">
        <v>1</v>
      </c>
      <c r="AH15" t="inlineStr">
        <is>
          <t>Allmännings- och besparingsskogar</t>
        </is>
      </c>
      <c r="AI15" t="inlineStr">
        <is>
          <t>Tis: Gr 2 (prio 2)</t>
        </is>
      </c>
      <c r="AJ15" t="inlineStr">
        <is>
          <t>A 26954-2022</t>
        </is>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2026-07-23T19:53:39Z</dcterms:created>
  <dcterms:modified xmlns:dcterms="http://purl.org/dc/terms/" xmlns:xsi="http://www.w3.org/2001/XMLSchema-instance" xsi:type="dcterms:W3CDTF">2026-07-23T19:53:39Z</dcterms:modified>
</cp:coreProperties>
</file>