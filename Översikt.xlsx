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14</v>
      </c>
      <c r="L2" t="n">
        <v>23</v>
      </c>
      <c r="M2" t="n">
        <v>11</v>
      </c>
      <c r="N2" t="n">
        <v>0</v>
      </c>
      <c r="O2" t="n">
        <v>0</v>
      </c>
      <c r="P2" t="n">
        <v>0</v>
      </c>
      <c r="Q2" t="n">
        <v>34</v>
      </c>
      <c r="R2" t="n">
        <v>11</v>
      </c>
      <c r="S2" t="n">
        <v>60</v>
      </c>
      <c r="T2" t="n">
        <v>323</v>
      </c>
      <c r="U2" t="n">
        <v>323</v>
      </c>
      <c r="V2" s="2" t="inlineStr">
        <is>
          <t>Garnlav
Grantickeporing
Grenlav
Gränsticka
Kristallticka
Lecidea subhumida
Nordlig parasitporing
Ostticka
Sprickporing
Tajgaskinn
Vitskaftad svartspik
Blanksvart spiklav
Blågrå svartspik
Brunklöver
Doftskinn
Dvärgbägarlav
Gammelgransskål
Harticka
Knottrig blåslav
Lavskrika
Liten svartspik
Lunglav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Muorkenåive-Ássjátj S</t>
        </is>
      </c>
      <c r="B3" t="inlineStr">
        <is>
          <t>inventeringsområde</t>
        </is>
      </c>
      <c r="D3" s="1" t="n">
        <v>46223</v>
      </c>
      <c r="E3" s="1" t="n">
        <v>46226</v>
      </c>
      <c r="F3" t="inlineStr">
        <is>
          <t>Norrbottens län</t>
        </is>
      </c>
      <c r="G3" t="inlineStr">
        <is>
          <t>Arjeplog</t>
        </is>
      </c>
      <c r="I3" t="n">
        <v>113.6</v>
      </c>
      <c r="J3" t="n">
        <v>8</v>
      </c>
      <c r="K3" t="n">
        <v>13</v>
      </c>
      <c r="L3" t="n">
        <v>19</v>
      </c>
      <c r="M3" t="n">
        <v>8</v>
      </c>
      <c r="N3" t="n">
        <v>1</v>
      </c>
      <c r="O3" t="n">
        <v>0</v>
      </c>
      <c r="P3" t="n">
        <v>0</v>
      </c>
      <c r="Q3" t="n">
        <v>28</v>
      </c>
      <c r="R3" t="n">
        <v>9</v>
      </c>
      <c r="S3" t="n">
        <v>50</v>
      </c>
      <c r="T3" t="n">
        <v>296</v>
      </c>
      <c r="U3" t="n">
        <v>284</v>
      </c>
      <c r="V3" s="2" t="inlineStr">
        <is>
          <t>Isabellporing
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Norrlandslav
Skinnlav
Spindelblomster
Stuplav
Tibast
Trådticka
Vedticka
Ögonpyrola
Ekbräken
Hultbräken
Humleblomster
Kransmossa
Nordisk stormhatt
Torta
Fläcknycklar
Myggblomster
Revlummer</t>
        </is>
      </c>
      <c r="W3">
        <f>HYPERLINK("https://klasma.github.io/Logging_FORSKNINGSRESAN_2026_ARJEPLOG/artfynd/Muorkenåive-Ássjátj S artfynd.xlsx", "Muorkenåive-Ássjátj S")</f>
        <v/>
      </c>
      <c r="X3">
        <f>HYPERLINK("https://klasma.github.io/Logging_FORSKNINGSRESAN_2026_ARJEPLOG/kartor/Muorkenåive-Ássjátj S karta.png", "Muorkenåive-Ássjátj S")</f>
        <v/>
      </c>
      <c r="Y3">
        <f>HYPERLINK("https://klasma.github.io/Logging_FORSKNINGSRESAN_2026_ARJEPLOG/kartor_geotiff/Muorkenåive-Ássjátj S georefererad karta.tif", "Muorkenåive-Ássjátj S")</f>
        <v/>
      </c>
      <c r="AA3">
        <f>HYPERLINK("https://klasma.github.io/Logging_FORSKNINGSRESAN_2026_ARJEPLOG/klagomål/Muorkenåive-Ássjátj S FSC-klagomål.docx", "Muorkenåive-Ássjátj S")</f>
        <v/>
      </c>
      <c r="AB3">
        <f>HYPERLINK("https://klasma.github.io/Logging_FORSKNINGSRESAN_2026_ARJEPLOG/klagomålsmail/Muorkenåive-Ássjátj S FSC-klagomål mail.docx", "Muorkenåive-Ássjátj S")</f>
        <v/>
      </c>
      <c r="AC3">
        <f>HYPERLINK("https://klasma.github.io/Logging_FORSKNINGSRESAN_2026_ARJEPLOG/tillsyn/Muorkenåive-Ássjátj S tillsynsbegäran.docx", "Muorkenåive-Ássjátj S")</f>
        <v/>
      </c>
      <c r="AD3">
        <f>HYPERLINK("https://klasma.github.io/Logging_FORSKNINGSRESAN_2026_ARJEPLOG/tillsynsmail/Muorkenåive-Ássjátj S tillsynsbegäran mail.docx", "Muorkenåive-Ássjátj S")</f>
        <v/>
      </c>
      <c r="AE3">
        <f>HYPERLINK("https://klasma.github.io/Logging_FORSKNINGSRESAN_2026_ARJEPLOG/fåglar/Muorkenåive-Ássjátj S prioriterade fågelarter.docx", "Muorkenåive-Ássjátj S")</f>
        <v/>
      </c>
      <c r="AF3" t="inlineStr">
        <is>
          <t>Slagit samman Muorkenåive-privat med Assjatj-privat (lilla) till ett objekt efter fältgenomgång. /FF Behöver inte finkamma, men bra att få in några fynd. kommer avvanm hela tiden.</t>
        </is>
      </c>
      <c r="AG3" t="n">
        <v>1</v>
      </c>
      <c r="AH3" t="inlineStr">
        <is>
          <t>Privat</t>
        </is>
      </c>
      <c r="AI3" t="inlineStr">
        <is>
          <t>Dag Gran: Gr 3</t>
        </is>
      </c>
      <c r="AJ3" t="n">
        <v/>
      </c>
    </row>
    <row r="4" ht="15" customHeight="1">
      <c r="A4" t="inlineStr">
        <is>
          <t>Laisdalen Björkliden</t>
        </is>
      </c>
      <c r="B4" t="inlineStr">
        <is>
          <t>inventeringsområde</t>
        </is>
      </c>
      <c r="D4" s="1" t="n">
        <v>46223</v>
      </c>
      <c r="E4" s="1" t="n">
        <v>46226</v>
      </c>
      <c r="F4" t="inlineStr">
        <is>
          <t>Norrbottens län</t>
        </is>
      </c>
      <c r="G4" t="inlineStr">
        <is>
          <t>Arjeplog</t>
        </is>
      </c>
      <c r="H4" t="inlineStr">
        <is>
          <t>Övriga statliga verk och myndigheter</t>
        </is>
      </c>
      <c r="I4" t="n">
        <v>119.1</v>
      </c>
      <c r="J4" t="n">
        <v>13</v>
      </c>
      <c r="K4" t="n">
        <v>10</v>
      </c>
      <c r="L4" t="n">
        <v>18</v>
      </c>
      <c r="M4" t="n">
        <v>7</v>
      </c>
      <c r="N4" t="n">
        <v>0</v>
      </c>
      <c r="O4" t="n">
        <v>0</v>
      </c>
      <c r="P4" t="n">
        <v>0</v>
      </c>
      <c r="Q4" t="n">
        <v>25</v>
      </c>
      <c r="R4" t="n">
        <v>7</v>
      </c>
      <c r="S4" t="n">
        <v>48</v>
      </c>
      <c r="T4" t="n">
        <v>359</v>
      </c>
      <c r="U4" t="n">
        <v>323</v>
      </c>
      <c r="V4" s="2" t="inlineStr">
        <is>
          <t>Garnlav
Grantickeporing
Gränsticka
Knärot
Lappticka
Ostticka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4</v>
      </c>
      <c r="N9" t="n">
        <v>0</v>
      </c>
      <c r="O9" t="n">
        <v>0</v>
      </c>
      <c r="P9" t="n">
        <v>0</v>
      </c>
      <c r="Q9" t="n">
        <v>21</v>
      </c>
      <c r="R9" t="n">
        <v>4</v>
      </c>
      <c r="S9" t="n">
        <v>34</v>
      </c>
      <c r="T9" t="n">
        <v>100</v>
      </c>
      <c r="U9" t="n">
        <v>100</v>
      </c>
      <c r="V9"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8</v>
      </c>
      <c r="N11" t="n">
        <v>0</v>
      </c>
      <c r="O11" t="n">
        <v>0</v>
      </c>
      <c r="P11" t="n">
        <v>0</v>
      </c>
      <c r="Q11" t="n">
        <v>24</v>
      </c>
      <c r="R11" t="n">
        <v>8</v>
      </c>
      <c r="S11" t="n">
        <v>29</v>
      </c>
      <c r="T11" t="n">
        <v>127</v>
      </c>
      <c r="U11" t="n">
        <v>127</v>
      </c>
      <c r="V11"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Uddnäs avvanm, 4,6 ha</t>
        </is>
      </c>
      <c r="B12" t="inlineStr">
        <is>
          <t>inventeringsområde</t>
        </is>
      </c>
      <c r="D12" s="1" t="n">
        <v>46223</v>
      </c>
      <c r="E12" s="1" t="n">
        <v>46226</v>
      </c>
      <c r="F12" t="inlineStr">
        <is>
          <t>Norrbottens län</t>
        </is>
      </c>
      <c r="G12" t="inlineStr">
        <is>
          <t>Arjeplog</t>
        </is>
      </c>
      <c r="I12" t="n">
        <v>4.6</v>
      </c>
      <c r="J12" t="n">
        <v>3</v>
      </c>
      <c r="K12" t="n">
        <v>3</v>
      </c>
      <c r="L12" t="n">
        <v>17</v>
      </c>
      <c r="M12" t="n">
        <v>5</v>
      </c>
      <c r="N12" t="n">
        <v>0</v>
      </c>
      <c r="O12" t="n">
        <v>0</v>
      </c>
      <c r="P12" t="n">
        <v>0</v>
      </c>
      <c r="Q12" t="n">
        <v>22</v>
      </c>
      <c r="R12" t="n">
        <v>5</v>
      </c>
      <c r="S12" t="n">
        <v>26</v>
      </c>
      <c r="T12" t="n">
        <v>106</v>
      </c>
      <c r="U12" t="n">
        <v>106</v>
      </c>
      <c r="V12"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2">
        <f>HYPERLINK("https://klasma.github.io/Logging_FORSKNINGSRESAN_2026_ARJEPLOG/artfynd/Maskaure Uddnäs avvanm, 4,6 ha artfynd.xlsx", "Maskaure Uddnäs avvanm, 4,6 ha")</f>
        <v/>
      </c>
      <c r="X12">
        <f>HYPERLINK("https://klasma.github.io/Logging_FORSKNINGSRESAN_2026_ARJEPLOG/kartor/Maskaure Uddnäs avvanm, 4,6 ha karta.png", "Maskaure Uddnäs avvanm, 4,6 ha")</f>
        <v/>
      </c>
      <c r="Y12">
        <f>HYPERLINK("https://klasma.github.io/Logging_FORSKNINGSRESAN_2026_ARJEPLOG/kartor_geotiff/Maskaure Uddnäs avvanm, 4,6 ha georefererad karta.tif", "Maskaure Uddnäs avvanm, 4,6 ha")</f>
        <v/>
      </c>
      <c r="AA12">
        <f>HYPERLINK("https://klasma.github.io/Logging_FORSKNINGSRESAN_2026_ARJEPLOG/klagomål/Maskaure Uddnäs avvanm, 4,6 ha FSC-klagomål.docx", "Maskaure Uddnäs avvanm, 4,6 ha")</f>
        <v/>
      </c>
      <c r="AB12">
        <f>HYPERLINK("https://klasma.github.io/Logging_FORSKNINGSRESAN_2026_ARJEPLOG/klagomålsmail/Maskaure Uddnäs avvanm, 4,6 ha FSC-klagomål mail.docx", "Maskaure Uddnäs avvanm, 4,6 ha")</f>
        <v/>
      </c>
      <c r="AC12">
        <f>HYPERLINK("https://klasma.github.io/Logging_FORSKNINGSRESAN_2026_ARJEPLOG/tillsyn/Maskaure Uddnäs avvanm, 4,6 ha tillsynsbegäran.docx", "Maskaure Uddnäs avvanm, 4,6 ha")</f>
        <v/>
      </c>
      <c r="AD12">
        <f>HYPERLINK("https://klasma.github.io/Logging_FORSKNINGSRESAN_2026_ARJEPLOG/tillsynsmail/Maskaure Uddnäs avvanm, 4,6 ha tillsynsbegäran mail.docx", "Maskaure Uddnäs avvanm, 4,6 ha")</f>
        <v/>
      </c>
      <c r="AE12">
        <f>HYPERLINK("https://klasma.github.io/Logging_FORSKNINGSRESAN_2026_ARJEPLOG/fåglar/Maskaure Uddnäs avvanm, 4,6 ha prioriterade fågelarter.docx", "Maskaure Uddnäs avvanm, 4,6 ha")</f>
        <v/>
      </c>
      <c r="AF12" t="inlineStr">
        <is>
          <t>Barrblandskog med äldre gran, nyckelbiotop, avvanm</t>
        </is>
      </c>
      <c r="AG12" t="n">
        <v>1</v>
      </c>
      <c r="AH12" t="inlineStr">
        <is>
          <t>Privat</t>
        </is>
      </c>
      <c r="AI12" t="inlineStr">
        <is>
          <t>Ons: Gr 3</t>
        </is>
      </c>
      <c r="AJ12" t="inlineStr">
        <is>
          <t>A 37442-2025</t>
        </is>
      </c>
    </row>
    <row r="13" ht="15" customHeight="1">
      <c r="A13" t="inlineStr">
        <is>
          <t>Västra Kikkejaure Rengärdet avvanm</t>
        </is>
      </c>
      <c r="B13" t="inlineStr">
        <is>
          <t>inventeringsområde</t>
        </is>
      </c>
      <c r="D13" s="1" t="n">
        <v>46223</v>
      </c>
      <c r="E13" s="1" t="n">
        <v>46226</v>
      </c>
      <c r="F13" t="inlineStr">
        <is>
          <t>Norrbottens län</t>
        </is>
      </c>
      <c r="G13" t="inlineStr">
        <is>
          <t>Arjeplog</t>
        </is>
      </c>
      <c r="H13" t="inlineStr">
        <is>
          <t>Allmännings- och besparingsskogar</t>
        </is>
      </c>
      <c r="I13" t="n">
        <v>10.4</v>
      </c>
      <c r="J13" t="n">
        <v>5</v>
      </c>
      <c r="K13" t="n">
        <v>3</v>
      </c>
      <c r="L13" t="n">
        <v>18</v>
      </c>
      <c r="M13" t="n">
        <v>3</v>
      </c>
      <c r="N13" t="n">
        <v>0</v>
      </c>
      <c r="O13" t="n">
        <v>0</v>
      </c>
      <c r="P13" t="n">
        <v>0</v>
      </c>
      <c r="Q13" t="n">
        <v>21</v>
      </c>
      <c r="R13" t="n">
        <v>3</v>
      </c>
      <c r="S13" t="n">
        <v>26</v>
      </c>
      <c r="T13" t="n">
        <v>95</v>
      </c>
      <c r="U13" t="n">
        <v>61</v>
      </c>
      <c r="V13"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3">
        <f>HYPERLINK("https://klasma.github.io/Logging_FORSKNINGSRESAN_2026_ARJEPLOG/artfynd/Västra Kikkejaure Rengärdet avvanm artfynd.xlsx", "Västra Kikkejaure Rengärdet avvanm")</f>
        <v/>
      </c>
      <c r="X13">
        <f>HYPERLINK("https://klasma.github.io/Logging_FORSKNINGSRESAN_2026_ARJEPLOG/kartor/Västra Kikkejaure Rengärdet avvanm karta.png", "Västra Kikkejaure Rengärdet avvanm")</f>
        <v/>
      </c>
      <c r="Y13">
        <f>HYPERLINK("https://klasma.github.io/Logging_FORSKNINGSRESAN_2026_ARJEPLOG/kartor_geotiff/Västra Kikkejaure Rengärdet avvanm georefererad karta.tif", "Västra Kikkejaure Rengärdet avvanm")</f>
        <v/>
      </c>
      <c r="AA13">
        <f>HYPERLINK("https://klasma.github.io/Logging_FORSKNINGSRESAN_2026_ARJEPLOG/klagomål/Västra Kikkejaure Rengärdet avvanm FSC-klagomål.docx", "Västra Kikkejaure Rengärdet avvanm")</f>
        <v/>
      </c>
      <c r="AB13">
        <f>HYPERLINK("https://klasma.github.io/Logging_FORSKNINGSRESAN_2026_ARJEPLOG/klagomålsmail/Västra Kikkejaure Rengärdet avvanm FSC-klagomål mail.docx", "Västra Kikkejaure Rengärdet avvanm")</f>
        <v/>
      </c>
      <c r="AC13">
        <f>HYPERLINK("https://klasma.github.io/Logging_FORSKNINGSRESAN_2026_ARJEPLOG/tillsyn/Västra Kikkejaure Rengärdet avvanm tillsynsbegäran.docx", "Västra Kikkejaure Rengärdet avvanm")</f>
        <v/>
      </c>
      <c r="AD13">
        <f>HYPERLINK("https://klasma.github.io/Logging_FORSKNINGSRESAN_2026_ARJEPLOG/tillsynsmail/Västra Kikkejaure Rengärdet avvanm tillsynsbegäran mail.docx", "Västra Kikkejaure Rengärdet avvanm")</f>
        <v/>
      </c>
      <c r="AE13">
        <f>HYPERLINK("https://klasma.github.io/Logging_FORSKNINGSRESAN_2026_ARJEPLOG/fåglar/Västra Kikkejaure Rengärdet avvanm prioriterade fågelarter.docx", "Västra Kikkejaure Rengärdet avvanm")</f>
        <v/>
      </c>
      <c r="AF13" t="inlineStr">
        <is>
          <t>Delvis inventerad av Fältbiologerna, komplettera! avvanm</t>
        </is>
      </c>
      <c r="AG13" t="n">
        <v>1</v>
      </c>
      <c r="AH13" t="inlineStr">
        <is>
          <t>Allmännings- och besparingsskogar</t>
        </is>
      </c>
      <c r="AI13" t="inlineStr">
        <is>
          <t>Tis: Gr 2 (prio 2)</t>
        </is>
      </c>
      <c r="AJ13" t="inlineStr">
        <is>
          <t>A 26954-2022</t>
        </is>
      </c>
    </row>
    <row r="14" ht="15" customHeight="1">
      <c r="A14" t="inlineStr">
        <is>
          <t>Svanvik SO avvanm</t>
        </is>
      </c>
      <c r="B14" t="inlineStr">
        <is>
          <t>inventeringsområde</t>
        </is>
      </c>
      <c r="D14" s="1" t="n">
        <v>46223</v>
      </c>
      <c r="E14" s="1" t="n">
        <v>46226</v>
      </c>
      <c r="F14" t="inlineStr">
        <is>
          <t>Norrbottens län</t>
        </is>
      </c>
      <c r="G14" t="inlineStr">
        <is>
          <t>Arjeplog</t>
        </is>
      </c>
      <c r="I14" t="n">
        <v>12.9</v>
      </c>
      <c r="J14" t="n">
        <v>4</v>
      </c>
      <c r="K14" t="n">
        <v>8</v>
      </c>
      <c r="L14" t="n">
        <v>13</v>
      </c>
      <c r="M14" t="n">
        <v>4</v>
      </c>
      <c r="N14" t="n">
        <v>0</v>
      </c>
      <c r="O14" t="n">
        <v>0</v>
      </c>
      <c r="P14" t="n">
        <v>0</v>
      </c>
      <c r="Q14" t="n">
        <v>17</v>
      </c>
      <c r="R14" t="n">
        <v>4</v>
      </c>
      <c r="S14" t="n">
        <v>26</v>
      </c>
      <c r="T14" t="n">
        <v>101</v>
      </c>
      <c r="U14" t="n">
        <v>101</v>
      </c>
      <c r="V14" s="2" t="inlineStr">
        <is>
          <t>Garnlav
Gränsticka
Knärot
Lappticka
Blanksvart spiklav
Doftskinn
Gammelgransskål
Harticka
Knottrig blåslav
Rosenticka
Skrovellav
Talltita
Tretåig hackspett
Ullticka
Vedflamlav
Vedtrappmossa
Vitgrynig nållav
Bronshjon
Bårdlav
Källmossor
Luddlav
Spindelblomster
Stuplav
Vedticka
Vågbandad barkbock
Bergsslok</t>
        </is>
      </c>
      <c r="W14">
        <f>HYPERLINK("https://klasma.github.io/Logging_FORSKNINGSRESAN_2026_ARJEPLOG/artfynd/Svanvik SO avvanm artfynd.xlsx", "Svanvik SO avvanm")</f>
        <v/>
      </c>
      <c r="X14">
        <f>HYPERLINK("https://klasma.github.io/Logging_FORSKNINGSRESAN_2026_ARJEPLOG/kartor/Svanvik SO avvanm karta.png", "Svanvik SO avvanm")</f>
        <v/>
      </c>
      <c r="Y14">
        <f>HYPERLINK("https://klasma.github.io/Logging_FORSKNINGSRESAN_2026_ARJEPLOG/kartor_geotiff/Svanvik SO avvanm georefererad karta.tif", "Svanvik SO avvanm")</f>
        <v/>
      </c>
      <c r="Z14">
        <f>HYPERLINK("https://klasma.github.io/Logging_FORSKNINGSRESAN_2026_ARJEPLOG/knärot/Svanvik SO avvanm karta knärot.png", "Svanvik SO avvanm")</f>
        <v/>
      </c>
      <c r="AA14">
        <f>HYPERLINK("https://klasma.github.io/Logging_FORSKNINGSRESAN_2026_ARJEPLOG/klagomål/Svanvik SO avvanm FSC-klagomål.docx", "Svanvik SO avvanm")</f>
        <v/>
      </c>
      <c r="AB14">
        <f>HYPERLINK("https://klasma.github.io/Logging_FORSKNINGSRESAN_2026_ARJEPLOG/klagomålsmail/Svanvik SO avvanm FSC-klagomål mail.docx", "Svanvik SO avvanm")</f>
        <v/>
      </c>
      <c r="AC14">
        <f>HYPERLINK("https://klasma.github.io/Logging_FORSKNINGSRESAN_2026_ARJEPLOG/tillsyn/Svanvik SO avvanm tillsynsbegäran.docx", "Svanvik SO avvanm")</f>
        <v/>
      </c>
      <c r="AD14">
        <f>HYPERLINK("https://klasma.github.io/Logging_FORSKNINGSRESAN_2026_ARJEPLOG/tillsynsmail/Svanvik SO avvanm tillsynsbegäran mail.docx", "Svanvik SO avvanm")</f>
        <v/>
      </c>
      <c r="AE14">
        <f>HYPERLINK("https://klasma.github.io/Logging_FORSKNINGSRESAN_2026_ARJEPLOG/fåglar/Svanvik SO avvanm prioriterade fågelarter.docx", "Svanvik SO avvanm")</f>
        <v/>
      </c>
      <c r="AF14" t="inlineStr">
        <is>
          <t>Grannaturskog</t>
        </is>
      </c>
      <c r="AG14" t="n">
        <v>1</v>
      </c>
      <c r="AH14" t="inlineStr">
        <is>
          <t>Privat</t>
        </is>
      </c>
      <c r="AI14" t="inlineStr">
        <is>
          <t>Dag Gran: Gr 1 (prio 1)</t>
        </is>
      </c>
      <c r="AJ14" t="n">
        <v/>
      </c>
    </row>
    <row r="15" ht="15" customHeight="1">
      <c r="A15" t="inlineStr">
        <is>
          <t>Bergmyrarna avvanm</t>
        </is>
      </c>
      <c r="B15" t="inlineStr">
        <is>
          <t>inventeringsområde</t>
        </is>
      </c>
      <c r="D15" s="1" t="n">
        <v>46223</v>
      </c>
      <c r="E15" s="1" t="n">
        <v>46226</v>
      </c>
      <c r="F15" t="inlineStr">
        <is>
          <t>Norrbottens län</t>
        </is>
      </c>
      <c r="G15" t="inlineStr">
        <is>
          <t>Arjeplog</t>
        </is>
      </c>
      <c r="H15" t="inlineStr">
        <is>
          <t>Allmännings- och besparingsskogar</t>
        </is>
      </c>
      <c r="I15" t="n">
        <v>17.7</v>
      </c>
      <c r="J15" t="n">
        <v>6</v>
      </c>
      <c r="K15" t="n">
        <v>7</v>
      </c>
      <c r="L15" t="n">
        <v>13</v>
      </c>
      <c r="M15" t="n">
        <v>2</v>
      </c>
      <c r="N15" t="n">
        <v>0</v>
      </c>
      <c r="O15" t="n">
        <v>0</v>
      </c>
      <c r="P15" t="n">
        <v>0</v>
      </c>
      <c r="Q15" t="n">
        <v>15</v>
      </c>
      <c r="R15" t="n">
        <v>2</v>
      </c>
      <c r="S15" t="n">
        <v>24</v>
      </c>
      <c r="T15" t="n">
        <v>118</v>
      </c>
      <c r="U15" t="n">
        <v>118</v>
      </c>
      <c r="V15" s="2" t="inlineStr">
        <is>
          <t>Garnlav
Gränsticka
Blanksvart spiklav
Dvärgbägarlav
Gammelgransskål
Knottrig blåslav
Rödbrun blekspik
Stjärntagging
Talltita
Tretåig hackspett
Ullticka
Vedskivlav
Violmussling
Vitgrynig nållav
Älg
Bronshjon
Bårdlav
Korallrot
Luddlav
Spindelblomster
Stuplav
Vågbandad barkbock
Spillkråka
Tjäder</t>
        </is>
      </c>
      <c r="W15">
        <f>HYPERLINK("https://klasma.github.io/Logging_FORSKNINGSRESAN_2026_ARJEPLOG/artfynd/Bergmyrarna avvanm artfynd.xlsx", "Bergmyrarna avvanm")</f>
        <v/>
      </c>
      <c r="X15">
        <f>HYPERLINK("https://klasma.github.io/Logging_FORSKNINGSRESAN_2026_ARJEPLOG/kartor/Bergmyrarna avvanm karta.png", "Bergmyrarna avvanm")</f>
        <v/>
      </c>
      <c r="Y15">
        <f>HYPERLINK("https://klasma.github.io/Logging_FORSKNINGSRESAN_2026_ARJEPLOG/kartor_geotiff/Bergmyrarna avvanm georefererad karta.tif", "Bergmyrarna avvanm")</f>
        <v/>
      </c>
      <c r="AA15">
        <f>HYPERLINK("https://klasma.github.io/Logging_FORSKNINGSRESAN_2026_ARJEPLOG/klagomål/Bergmyrarna avvanm FSC-klagomål.docx", "Bergmyrarna avvanm")</f>
        <v/>
      </c>
      <c r="AB15">
        <f>HYPERLINK("https://klasma.github.io/Logging_FORSKNINGSRESAN_2026_ARJEPLOG/klagomålsmail/Bergmyrarna avvanm FSC-klagomål mail.docx", "Bergmyrarna avvanm")</f>
        <v/>
      </c>
      <c r="AC15">
        <f>HYPERLINK("https://klasma.github.io/Logging_FORSKNINGSRESAN_2026_ARJEPLOG/tillsyn/Bergmyrarna avvanm tillsynsbegäran.docx", "Bergmyrarna avvanm")</f>
        <v/>
      </c>
      <c r="AD15">
        <f>HYPERLINK("https://klasma.github.io/Logging_FORSKNINGSRESAN_2026_ARJEPLOG/tillsynsmail/Bergmyrarna avvanm tillsynsbegäran mail.docx", "Bergmyrarna avvanm")</f>
        <v/>
      </c>
      <c r="AE15">
        <f>HYPERLINK("https://klasma.github.io/Logging_FORSKNINGSRESAN_2026_ARJEPLOG/fåglar/Bergmyrarna avvanm prioriterade fågelarter.docx", "Bergmyrarna avvanm")</f>
        <v/>
      </c>
      <c r="AF15" t="inlineStr">
        <is>
          <t>155 år bevskikt, bör inventeras!!</t>
        </is>
      </c>
      <c r="AG15" t="n">
        <v>10</v>
      </c>
      <c r="AH15" t="inlineStr">
        <is>
          <t>Allmännings- och besparingsskogar</t>
        </is>
      </c>
      <c r="AI15" t="n">
        <v/>
      </c>
      <c r="AJ15" t="n">
        <v/>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2026-07-23T18:53:28Z</dcterms:created>
  <dcterms:modified xmlns:dcterms="http://purl.org/dc/terms/" xmlns:xsi="http://www.w3.org/2001/XMLSchema-instance" xsi:type="dcterms:W3CDTF">2026-07-23T18:53:28Z</dcterms:modified>
</cp:coreProperties>
</file>