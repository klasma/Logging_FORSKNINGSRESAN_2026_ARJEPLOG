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Tsågávrrie avvanm, 17,8 ha</t>
        </is>
      </c>
      <c r="B10" t="inlineStr">
        <is>
          <t>inventeringsområde</t>
        </is>
      </c>
      <c r="D10" s="1" t="n">
        <v>46223</v>
      </c>
      <c r="E10" s="1" t="n">
        <v>46227</v>
      </c>
      <c r="F10" t="inlineStr">
        <is>
          <t>Norrbottens län</t>
        </is>
      </c>
      <c r="G10" t="inlineStr">
        <is>
          <t>Arjeplog</t>
        </is>
      </c>
      <c r="I10" t="n">
        <v>17.8</v>
      </c>
      <c r="J10" t="n">
        <v>7</v>
      </c>
      <c r="K10" t="n">
        <v>10</v>
      </c>
      <c r="L10" t="n">
        <v>17</v>
      </c>
      <c r="M10" t="n">
        <v>3</v>
      </c>
      <c r="N10" t="n">
        <v>0</v>
      </c>
      <c r="O10" t="n">
        <v>0</v>
      </c>
      <c r="P10" t="n">
        <v>0</v>
      </c>
      <c r="Q10" t="n">
        <v>20</v>
      </c>
      <c r="R10" t="n">
        <v>3</v>
      </c>
      <c r="S10" t="n">
        <v>33</v>
      </c>
      <c r="T10" t="n">
        <v>100</v>
      </c>
      <c r="U10" t="n">
        <v>100</v>
      </c>
      <c r="V10"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0">
        <f>HYPERLINK("https://klasma.github.io/Logging_FORSKNINGSRESAN_2026_ARJEPLOG/artfynd/Maskaure Tsågávrrie avvanm, 17,8 ha artfynd.xlsx", "Maskaure Tsågávrrie avvanm, 17,8 ha")</f>
        <v/>
      </c>
      <c r="X10">
        <f>HYPERLINK("https://klasma.github.io/Logging_FORSKNINGSRESAN_2026_ARJEPLOG/kartor/Maskaure Tsågávrrie avvanm, 17,8 ha karta.png", "Maskaure Tsågávrrie avvanm, 17,8 ha")</f>
        <v/>
      </c>
      <c r="Y10">
        <f>HYPERLINK("https://klasma.github.io/Logging_FORSKNINGSRESAN_2026_ARJEPLOG/kartor_geotiff/Maskaure Tsågávrrie avvanm, 17,8 ha georefererad karta.tif", "Maskaure Tsågávrrie avvanm, 17,8 ha")</f>
        <v/>
      </c>
      <c r="AA10">
        <f>HYPERLINK("https://klasma.github.io/Logging_FORSKNINGSRESAN_2026_ARJEPLOG/klagomål/Maskaure Tsågávrrie avvanm, 17,8 ha FSC-klagomål.docx", "Maskaure Tsågávrrie avvanm, 17,8 ha")</f>
        <v/>
      </c>
      <c r="AB10">
        <f>HYPERLINK("https://klasma.github.io/Logging_FORSKNINGSRESAN_2026_ARJEPLOG/klagomålsmail/Maskaure Tsågávrrie avvanm, 17,8 ha FSC-klagomål mail.docx", "Maskaure Tsågávrrie avvanm, 17,8 ha")</f>
        <v/>
      </c>
      <c r="AC10">
        <f>HYPERLINK("https://klasma.github.io/Logging_FORSKNINGSRESAN_2026_ARJEPLOG/tillsyn/Maskaure Tsågávrrie avvanm, 17,8 ha tillsynsbegäran.docx", "Maskaure Tsågávrrie avvanm, 17,8 ha")</f>
        <v/>
      </c>
      <c r="AD10">
        <f>HYPERLINK("https://klasma.github.io/Logging_FORSKNINGSRESAN_2026_ARJEPLOG/tillsynsmail/Maskaure Tsågávrrie avvanm, 17,8 ha tillsynsbegäran mail.docx", "Maskaure Tsågávrrie avvanm, 17,8 ha")</f>
        <v/>
      </c>
      <c r="AE10">
        <f>HYPERLINK("https://klasma.github.io/Logging_FORSKNINGSRESAN_2026_ARJEPLOG/fåglar/Maskaure Tsågávrrie avvanm, 17,8 ha prioriterade fågelarter.docx", "Maskaure Tsågávrrie avvanm, 17,8 ha")</f>
        <v/>
      </c>
      <c r="AF10" t="inlineStr">
        <is>
          <t>avvanm</t>
        </is>
      </c>
      <c r="AG10" t="n">
        <v>1</v>
      </c>
      <c r="AH10" t="inlineStr">
        <is>
          <t>Privat</t>
        </is>
      </c>
      <c r="AI10" t="inlineStr">
        <is>
          <t>Ons: Gr 2 (prio 3)</t>
        </is>
      </c>
      <c r="AJ10" t="inlineStr">
        <is>
          <t>A 64809-2023</t>
        </is>
      </c>
    </row>
    <row r="11" ht="15" customHeight="1">
      <c r="A11" t="inlineStr">
        <is>
          <t>Västra Kikkejaure korsningen Långviken avvanm</t>
        </is>
      </c>
      <c r="B11" t="inlineStr">
        <is>
          <t>inventeringsområde</t>
        </is>
      </c>
      <c r="D11" s="1" t="n">
        <v>46223</v>
      </c>
      <c r="E11" s="1" t="n">
        <v>46227</v>
      </c>
      <c r="F11" t="inlineStr">
        <is>
          <t>Norrbottens län</t>
        </is>
      </c>
      <c r="G11" t="inlineStr">
        <is>
          <t>Arjeplog</t>
        </is>
      </c>
      <c r="H11" t="inlineStr">
        <is>
          <t>Allmännings- och besparingsskogar</t>
        </is>
      </c>
      <c r="I11" t="n">
        <v>25.5</v>
      </c>
      <c r="J11" t="n">
        <v>4</v>
      </c>
      <c r="K11" t="n">
        <v>4</v>
      </c>
      <c r="L11" t="n">
        <v>20</v>
      </c>
      <c r="M11" t="n">
        <v>5</v>
      </c>
      <c r="N11" t="n">
        <v>1</v>
      </c>
      <c r="O11" t="n">
        <v>0</v>
      </c>
      <c r="P11" t="n">
        <v>0</v>
      </c>
      <c r="Q11" t="n">
        <v>26</v>
      </c>
      <c r="R11" t="n">
        <v>6</v>
      </c>
      <c r="S11" t="n">
        <v>32</v>
      </c>
      <c r="T11" t="n">
        <v>188</v>
      </c>
      <c r="U11" t="n">
        <v>188</v>
      </c>
      <c r="V11"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1">
        <f>HYPERLINK("https://klasma.github.io/Logging_FORSKNINGSRESAN_2026_ARJEPLOG/artfynd/Västra Kikkejaure korsningen Långviken avvanm artfynd.xlsx", "Västra Kikkejaure korsningen Långviken avvanm")</f>
        <v/>
      </c>
      <c r="X11">
        <f>HYPERLINK("https://klasma.github.io/Logging_FORSKNINGSRESAN_2026_ARJEPLOG/kartor/Västra Kikkejaure korsningen Långviken avvanm karta.png", "Västra Kikkejaure korsningen Långviken avvanm")</f>
        <v/>
      </c>
      <c r="Y11">
        <f>HYPERLINK("https://klasma.github.io/Logging_FORSKNINGSRESAN_2026_ARJEPLOG/kartor_geotiff/Västra Kikkejaure korsningen Långviken avvanm georefererad karta.tif", "Västra Kikkejaure korsningen Långviken avvanm")</f>
        <v/>
      </c>
      <c r="AA11">
        <f>HYPERLINK("https://klasma.github.io/Logging_FORSKNINGSRESAN_2026_ARJEPLOG/klagomål/Västra Kikkejaure korsningen Långviken avvanm FSC-klagomål.docx", "Västra Kikkejaure korsningen Långviken avvanm")</f>
        <v/>
      </c>
      <c r="AB11">
        <f>HYPERLINK("https://klasma.github.io/Logging_FORSKNINGSRESAN_2026_ARJEPLOG/klagomålsmail/Västra Kikkejaure korsningen Långviken avvanm FSC-klagomål mail.docx", "Västra Kikkejaure korsningen Långviken avvanm")</f>
        <v/>
      </c>
      <c r="AC11">
        <f>HYPERLINK("https://klasma.github.io/Logging_FORSKNINGSRESAN_2026_ARJEPLOG/tillsyn/Västra Kikkejaure korsningen Långviken avvanm tillsynsbegäran.docx", "Västra Kikkejaure korsningen Långviken avvanm")</f>
        <v/>
      </c>
      <c r="AD11">
        <f>HYPERLINK("https://klasma.github.io/Logging_FORSKNINGSRESAN_2026_ARJEPLOG/tillsynsmail/Västra Kikkejaure korsningen Långviken avvanm tillsynsbegäran mail.docx", "Västra Kikkejaure korsningen Långviken avvanm")</f>
        <v/>
      </c>
      <c r="AE11">
        <f>HYPERLINK("https://klasma.github.io/Logging_FORSKNINGSRESAN_2026_ARJEPLOG/fåglar/Västra Kikkejaure korsningen Långviken avvanm prioriterade fågelarter.docx", "Västra Kikkejaure korsningen Långviken avvanm")</f>
        <v/>
      </c>
      <c r="AF11" t="inlineStr">
        <is>
          <t>avvanm, tallnaturskog med silverved</t>
        </is>
      </c>
      <c r="AG11" t="n">
        <v>1</v>
      </c>
      <c r="AH11" t="inlineStr">
        <is>
          <t>Allmännings- och besparingsskogar</t>
        </is>
      </c>
      <c r="AI11" t="inlineStr">
        <is>
          <t>Tis: Gr 2 (prio 1)</t>
        </is>
      </c>
      <c r="AJ11" t="inlineStr">
        <is>
          <t>A 45924-2023</t>
        </is>
      </c>
    </row>
    <row r="12" ht="15" customHeight="1">
      <c r="A12" t="inlineStr">
        <is>
          <t>Bergmyrarna avvanm</t>
        </is>
      </c>
      <c r="B12" t="inlineStr">
        <is>
          <t>inventeringsområde</t>
        </is>
      </c>
      <c r="D12" s="1" t="n">
        <v>46223</v>
      </c>
      <c r="E12" s="1" t="n">
        <v>46227</v>
      </c>
      <c r="F12" t="inlineStr">
        <is>
          <t>Norrbottens län</t>
        </is>
      </c>
      <c r="G12" t="inlineStr">
        <is>
          <t>Arjeplog</t>
        </is>
      </c>
      <c r="H12" t="inlineStr">
        <is>
          <t>Allmännings- och besparingsskogar</t>
        </is>
      </c>
      <c r="I12" t="n">
        <v>17.7</v>
      </c>
      <c r="J12" t="n">
        <v>9</v>
      </c>
      <c r="K12" t="n">
        <v>8</v>
      </c>
      <c r="L12" t="n">
        <v>16</v>
      </c>
      <c r="M12" t="n">
        <v>5</v>
      </c>
      <c r="N12" t="n">
        <v>0</v>
      </c>
      <c r="O12" t="n">
        <v>0</v>
      </c>
      <c r="P12" t="n">
        <v>0</v>
      </c>
      <c r="Q12" t="n">
        <v>21</v>
      </c>
      <c r="R12" t="n">
        <v>5</v>
      </c>
      <c r="S12" t="n">
        <v>32</v>
      </c>
      <c r="T12" t="n">
        <v>252</v>
      </c>
      <c r="U12" t="n">
        <v>252</v>
      </c>
      <c r="V12"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2">
        <f>HYPERLINK("https://klasma.github.io/Logging_FORSKNINGSRESAN_2026_ARJEPLOG/artfynd/Bergmyrarna avvanm artfynd.xlsx", "Bergmyrarna avvanm")</f>
        <v/>
      </c>
      <c r="X12">
        <f>HYPERLINK("https://klasma.github.io/Logging_FORSKNINGSRESAN_2026_ARJEPLOG/kartor/Bergmyrarna avvanm karta.png", "Bergmyrarna avvanm")</f>
        <v/>
      </c>
      <c r="Y12">
        <f>HYPERLINK("https://klasma.github.io/Logging_FORSKNINGSRESAN_2026_ARJEPLOG/kartor_geotiff/Bergmyrarna avvanm georefererad karta.tif", "Bergmyrarna avvanm")</f>
        <v/>
      </c>
      <c r="AA12">
        <f>HYPERLINK("https://klasma.github.io/Logging_FORSKNINGSRESAN_2026_ARJEPLOG/klagomål/Bergmyrarna avvanm FSC-klagomål.docx", "Bergmyrarna avvanm")</f>
        <v/>
      </c>
      <c r="AB12">
        <f>HYPERLINK("https://klasma.github.io/Logging_FORSKNINGSRESAN_2026_ARJEPLOG/klagomålsmail/Bergmyrarna avvanm FSC-klagomål mail.docx", "Bergmyrarna avvanm")</f>
        <v/>
      </c>
      <c r="AC12">
        <f>HYPERLINK("https://klasma.github.io/Logging_FORSKNINGSRESAN_2026_ARJEPLOG/tillsyn/Bergmyrarna avvanm tillsynsbegäran.docx", "Bergmyrarna avvanm")</f>
        <v/>
      </c>
      <c r="AD12">
        <f>HYPERLINK("https://klasma.github.io/Logging_FORSKNINGSRESAN_2026_ARJEPLOG/tillsynsmail/Bergmyrarna avvanm tillsynsbegäran mail.docx", "Bergmyrarna avvanm")</f>
        <v/>
      </c>
      <c r="AE12">
        <f>HYPERLINK("https://klasma.github.io/Logging_FORSKNINGSRESAN_2026_ARJEPLOG/fåglar/Bergmyrarna avvanm prioriterade fågelarter.docx", "Bergmyrarna avvanm")</f>
        <v/>
      </c>
      <c r="AF12" t="inlineStr">
        <is>
          <t>155 år bevskikt, bör inventeras!!</t>
        </is>
      </c>
      <c r="AG12" t="n">
        <v>10</v>
      </c>
      <c r="AH12" t="inlineStr">
        <is>
          <t>Allmännings- och besparingsskogar</t>
        </is>
      </c>
      <c r="AI12" t="n">
        <v/>
      </c>
      <c r="AJ12" t="n">
        <v/>
      </c>
    </row>
    <row r="13" ht="15" customHeight="1">
      <c r="A13" t="inlineStr">
        <is>
          <t>Maskaure Skornjamyran avvanm, 11,2 ha</t>
        </is>
      </c>
      <c r="B13" t="inlineStr">
        <is>
          <t>inventeringsområde</t>
        </is>
      </c>
      <c r="D13" s="1" t="n">
        <v>46223</v>
      </c>
      <c r="E13" s="1" t="n">
        <v>46227</v>
      </c>
      <c r="F13" t="inlineStr">
        <is>
          <t>Norrbottens län</t>
        </is>
      </c>
      <c r="G13" t="inlineStr">
        <is>
          <t>Arjeplog</t>
        </is>
      </c>
      <c r="I13" t="n">
        <v>11.2</v>
      </c>
      <c r="J13" t="n">
        <v>4</v>
      </c>
      <c r="K13" t="n">
        <v>5</v>
      </c>
      <c r="L13" t="n">
        <v>16</v>
      </c>
      <c r="M13" t="n">
        <v>8</v>
      </c>
      <c r="N13" t="n">
        <v>0</v>
      </c>
      <c r="O13" t="n">
        <v>0</v>
      </c>
      <c r="P13" t="n">
        <v>0</v>
      </c>
      <c r="Q13" t="n">
        <v>24</v>
      </c>
      <c r="R13" t="n">
        <v>8</v>
      </c>
      <c r="S13" t="n">
        <v>30</v>
      </c>
      <c r="T13" t="n">
        <v>128</v>
      </c>
      <c r="U13" t="n">
        <v>128</v>
      </c>
      <c r="V13"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Skör kvastmossa
Sotlav
Vedticka
Tjäder</t>
        </is>
      </c>
      <c r="W13">
        <f>HYPERLINK("https://klasma.github.io/Logging_FORSKNINGSRESAN_2026_ARJEPLOG/artfynd/Maskaure Skornjamyran avvanm, 11,2 ha artfynd.xlsx", "Maskaure Skornjamyran avvanm, 11,2 ha")</f>
        <v/>
      </c>
      <c r="X13">
        <f>HYPERLINK("https://klasma.github.io/Logging_FORSKNINGSRESAN_2026_ARJEPLOG/kartor/Maskaure Skornjamyran avvanm, 11,2 ha karta.png", "Maskaure Skornjamyran avvanm, 11,2 ha")</f>
        <v/>
      </c>
      <c r="Y13">
        <f>HYPERLINK("https://klasma.github.io/Logging_FORSKNINGSRESAN_2026_ARJEPLOG/kartor_geotiff/Maskaure Skornjamyran avvanm, 11,2 ha georefererad karta.tif", "Maskaure Skornjamyran avvanm, 11,2 ha")</f>
        <v/>
      </c>
      <c r="AA13">
        <f>HYPERLINK("https://klasma.github.io/Logging_FORSKNINGSRESAN_2026_ARJEPLOG/klagomål/Maskaure Skornjamyran avvanm, 11,2 ha FSC-klagomål.docx", "Maskaure Skornjamyran avvanm, 11,2 ha")</f>
        <v/>
      </c>
      <c r="AB13">
        <f>HYPERLINK("https://klasma.github.io/Logging_FORSKNINGSRESAN_2026_ARJEPLOG/klagomålsmail/Maskaure Skornjamyran avvanm, 11,2 ha FSC-klagomål mail.docx", "Maskaure Skornjamyran avvanm, 11,2 ha")</f>
        <v/>
      </c>
      <c r="AC13">
        <f>HYPERLINK("https://klasma.github.io/Logging_FORSKNINGSRESAN_2026_ARJEPLOG/tillsyn/Maskaure Skornjamyran avvanm, 11,2 ha tillsynsbegäran.docx", "Maskaure Skornjamyran avvanm, 11,2 ha")</f>
        <v/>
      </c>
      <c r="AD13">
        <f>HYPERLINK("https://klasma.github.io/Logging_FORSKNINGSRESAN_2026_ARJEPLOG/tillsynsmail/Maskaure Skornjamyran avvanm, 11,2 ha tillsynsbegäran mail.docx", "Maskaure Skornjamyran avvanm, 11,2 ha")</f>
        <v/>
      </c>
      <c r="AE13">
        <f>HYPERLINK("https://klasma.github.io/Logging_FORSKNINGSRESAN_2026_ARJEPLOG/fåglar/Maskaure Skornjamyran avvanm, 11,2 ha prioriterade fågelarter.docx", "Maskaure Skornjamyran avvanm, 11,2 ha")</f>
        <v/>
      </c>
      <c r="AF13" t="inlineStr">
        <is>
          <t>mest gran, nyckelbiotop, avvanm</t>
        </is>
      </c>
      <c r="AG13" t="n">
        <v>1</v>
      </c>
      <c r="AH13" t="inlineStr">
        <is>
          <t>Privat</t>
        </is>
      </c>
      <c r="AI13" t="inlineStr">
        <is>
          <t>Ons: Gr 3</t>
        </is>
      </c>
      <c r="AJ13" t="inlineStr">
        <is>
          <t>A 45924-2023</t>
        </is>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3</v>
      </c>
      <c r="K14" t="n">
        <v>3</v>
      </c>
      <c r="L14" t="n">
        <v>17</v>
      </c>
      <c r="M14" t="n">
        <v>5</v>
      </c>
      <c r="N14" t="n">
        <v>0</v>
      </c>
      <c r="O14" t="n">
        <v>0</v>
      </c>
      <c r="P14" t="n">
        <v>0</v>
      </c>
      <c r="Q14" t="n">
        <v>22</v>
      </c>
      <c r="R14" t="n">
        <v>5</v>
      </c>
      <c r="S14" t="n">
        <v>26</v>
      </c>
      <c r="T14" t="n">
        <v>106</v>
      </c>
      <c r="U14" t="n">
        <v>106</v>
      </c>
      <c r="V14"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Västra Kikkejaure Rengärdet avvanm</t>
        </is>
      </c>
      <c r="B15" t="inlineStr">
        <is>
          <t>inventeringsområde</t>
        </is>
      </c>
      <c r="D15" s="1" t="n">
        <v>46223</v>
      </c>
      <c r="E15" s="1" t="n">
        <v>46227</v>
      </c>
      <c r="F15" t="inlineStr">
        <is>
          <t>Norrbottens län</t>
        </is>
      </c>
      <c r="G15" t="inlineStr">
        <is>
          <t>Arjeplog</t>
        </is>
      </c>
      <c r="H15" t="inlineStr">
        <is>
          <t>Allmännings- och besparingsskogar</t>
        </is>
      </c>
      <c r="I15" t="n">
        <v>10.4</v>
      </c>
      <c r="J15" t="n">
        <v>5</v>
      </c>
      <c r="K15" t="n">
        <v>3</v>
      </c>
      <c r="L15" t="n">
        <v>18</v>
      </c>
      <c r="M15" t="n">
        <v>3</v>
      </c>
      <c r="N15" t="n">
        <v>0</v>
      </c>
      <c r="O15" t="n">
        <v>0</v>
      </c>
      <c r="P15" t="n">
        <v>0</v>
      </c>
      <c r="Q15" t="n">
        <v>21</v>
      </c>
      <c r="R15" t="n">
        <v>3</v>
      </c>
      <c r="S15" t="n">
        <v>26</v>
      </c>
      <c r="T15" t="n">
        <v>95</v>
      </c>
      <c r="U15" t="n">
        <v>61</v>
      </c>
      <c r="V1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5">
        <f>HYPERLINK("https://klasma.github.io/Logging_FORSKNINGSRESAN_2026_ARJEPLOG/artfynd/Västra Kikkejaure Rengärdet avvanm artfynd.xlsx", "Västra Kikkejaure Rengärdet avvanm")</f>
        <v/>
      </c>
      <c r="X15">
        <f>HYPERLINK("https://klasma.github.io/Logging_FORSKNINGSRESAN_2026_ARJEPLOG/kartor/Västra Kikkejaure Rengärdet avvanm karta.png", "Västra Kikkejaure Rengärdet avvanm")</f>
        <v/>
      </c>
      <c r="Y15">
        <f>HYPERLINK("https://klasma.github.io/Logging_FORSKNINGSRESAN_2026_ARJEPLOG/kartor_geotiff/Västra Kikkejaure Rengärdet avvanm georefererad karta.tif", "Västra Kikkejaure Rengärdet avvanm")</f>
        <v/>
      </c>
      <c r="AA15">
        <f>HYPERLINK("https://klasma.github.io/Logging_FORSKNINGSRESAN_2026_ARJEPLOG/klagomål/Västra Kikkejaure Rengärdet avvanm FSC-klagomål.docx", "Västra Kikkejaure Rengärdet avvanm")</f>
        <v/>
      </c>
      <c r="AB15">
        <f>HYPERLINK("https://klasma.github.io/Logging_FORSKNINGSRESAN_2026_ARJEPLOG/klagomålsmail/Västra Kikkejaure Rengärdet avvanm FSC-klagomål mail.docx", "Västra Kikkejaure Rengärdet avvanm")</f>
        <v/>
      </c>
      <c r="AC15">
        <f>HYPERLINK("https://klasma.github.io/Logging_FORSKNINGSRESAN_2026_ARJEPLOG/tillsyn/Västra Kikkejaure Rengärdet avvanm tillsynsbegäran.docx", "Västra Kikkejaure Rengärdet avvanm")</f>
        <v/>
      </c>
      <c r="AD15">
        <f>HYPERLINK("https://klasma.github.io/Logging_FORSKNINGSRESAN_2026_ARJEPLOG/tillsynsmail/Västra Kikkejaure Rengärdet avvanm tillsynsbegäran mail.docx", "Västra Kikkejaure Rengärdet avvanm")</f>
        <v/>
      </c>
      <c r="AE15">
        <f>HYPERLINK("https://klasma.github.io/Logging_FORSKNINGSRESAN_2026_ARJEPLOG/fåglar/Västra Kikkejaure Rengärdet avvanm prioriterade fågelarter.docx", "Västra Kikkejaure Rengärdet avvanm")</f>
        <v/>
      </c>
      <c r="AF15" t="inlineStr">
        <is>
          <t>Delvis inventerad av Fältbiologerna, komplettera! avvanm</t>
        </is>
      </c>
      <c r="AG15" t="n">
        <v>1</v>
      </c>
      <c r="AH15" t="inlineStr">
        <is>
          <t>Allmännings- och besparingsskogar</t>
        </is>
      </c>
      <c r="AI15" t="inlineStr">
        <is>
          <t>Tis: Gr 2 (prio 2)</t>
        </is>
      </c>
      <c r="AJ15" t="inlineStr">
        <is>
          <t>A 26954-2022</t>
        </is>
      </c>
    </row>
    <row r="16" ht="15" customHeight="1">
      <c r="A16" t="inlineStr">
        <is>
          <t>Maskaure Renskötartjärnen, 8,3 ha</t>
        </is>
      </c>
      <c r="B16" t="inlineStr">
        <is>
          <t>inventeringsområde</t>
        </is>
      </c>
      <c r="D16" s="1" t="n">
        <v>46223</v>
      </c>
      <c r="E16" s="1" t="n">
        <v>46227</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46227</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46227</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2026-07-23T22:03:51Z</dcterms:created>
  <dcterms:modified xmlns:dcterms="http://purl.org/dc/terms/" xmlns:xsi="http://www.w3.org/2001/XMLSchema-instance" xsi:type="dcterms:W3CDTF">2026-07-23T22:03:51Z</dcterms:modified>
</cp:coreProperties>
</file>