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10</v>
      </c>
      <c r="K2" t="n">
        <v>13</v>
      </c>
      <c r="L2" t="n">
        <v>27</v>
      </c>
      <c r="M2" t="n">
        <v>13</v>
      </c>
      <c r="N2" t="n">
        <v>0</v>
      </c>
      <c r="O2" t="n">
        <v>0</v>
      </c>
      <c r="P2" t="n">
        <v>0</v>
      </c>
      <c r="Q2" t="n">
        <v>40</v>
      </c>
      <c r="R2" t="n">
        <v>13</v>
      </c>
      <c r="S2" t="n">
        <v>66</v>
      </c>
      <c r="T2" t="n">
        <v>358</v>
      </c>
      <c r="U2" t="n">
        <v>358</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Grå blåbärsfältmätare
Harticka
Knottrig blåslav
Lavskrika
Liten svartspik
Lunglav
Nordlig nållav
Oljetagging
Rosenticka
Rostania pallida
Rynkskinn
Rödbrun blekspik
Skrovellav
Stjärntagging
Talltita
Tretåig hackspett
Ullticka
Vedflamlav
Vedskivlav
Vitgrynig nållav
Blodticka
Bårdlav
Grönkulla
Gulnål
Korallrot
Källpraktmossa
Luddlav
Rostfläck
Spindelblomster
Stuplav
Tibast
Vedticka
Ögonpyrola
Bergsslok
Brudborste
Ekbräken
Humleblomster
Kärrfibbla
Lundarv
Nordisk stormhatt
Ormbär
Spillkråka
Tjäder
Torta
Vanlig groda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46227</v>
      </c>
      <c r="F3" t="inlineStr">
        <is>
          <t>Norrbottens län</t>
        </is>
      </c>
      <c r="G3" t="inlineStr">
        <is>
          <t>Arjeplog</t>
        </is>
      </c>
      <c r="H3" t="inlineStr">
        <is>
          <t>Övriga statliga verk och myndigheter</t>
        </is>
      </c>
      <c r="I3" t="n">
        <v>119.1</v>
      </c>
      <c r="J3" t="n">
        <v>13</v>
      </c>
      <c r="K3" t="n">
        <v>11</v>
      </c>
      <c r="L3" t="n">
        <v>19</v>
      </c>
      <c r="M3" t="n">
        <v>9</v>
      </c>
      <c r="N3" t="n">
        <v>0</v>
      </c>
      <c r="O3" t="n">
        <v>0</v>
      </c>
      <c r="P3" t="n">
        <v>0</v>
      </c>
      <c r="Q3" t="n">
        <v>28</v>
      </c>
      <c r="R3" t="n">
        <v>9</v>
      </c>
      <c r="S3" t="n">
        <v>52</v>
      </c>
      <c r="T3" t="n">
        <v>373</v>
      </c>
      <c r="U3" t="n">
        <v>337</v>
      </c>
      <c r="V3"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Skeletocutis exilis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Muorkenåive-Ássjátj S</t>
        </is>
      </c>
      <c r="B4" t="inlineStr">
        <is>
          <t>inventeringsområde</t>
        </is>
      </c>
      <c r="D4" s="1" t="n">
        <v>46223</v>
      </c>
      <c r="E4" s="1" t="n">
        <v>46227</v>
      </c>
      <c r="F4" t="inlineStr">
        <is>
          <t>Norrbottens län</t>
        </is>
      </c>
      <c r="G4" t="inlineStr">
        <is>
          <t>Arjeplog</t>
        </is>
      </c>
      <c r="I4" t="n">
        <v>113.6</v>
      </c>
      <c r="J4" t="n">
        <v>8</v>
      </c>
      <c r="K4" t="n">
        <v>14</v>
      </c>
      <c r="L4" t="n">
        <v>19</v>
      </c>
      <c r="M4" t="n">
        <v>8</v>
      </c>
      <c r="N4" t="n">
        <v>0</v>
      </c>
      <c r="O4" t="n">
        <v>0</v>
      </c>
      <c r="P4" t="n">
        <v>0</v>
      </c>
      <c r="Q4" t="n">
        <v>27</v>
      </c>
      <c r="R4" t="n">
        <v>8</v>
      </c>
      <c r="S4" t="n">
        <v>51</v>
      </c>
      <c r="T4" t="n">
        <v>303</v>
      </c>
      <c r="U4" t="n">
        <v>291</v>
      </c>
      <c r="V4"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4">
        <f>HYPERLINK("https://klasma.github.io/Logging_FORSKNINGSRESAN_2026_ARJEPLOG/artfynd/Muorkenåive-Ássjátj S artfynd.xlsx", "Muorkenåive-Ássjátj S")</f>
        <v/>
      </c>
      <c r="X4">
        <f>HYPERLINK("https://klasma.github.io/Logging_FORSKNINGSRESAN_2026_ARJEPLOG/kartor/Muorkenåive-Ássjátj S karta.png", "Muorkenåive-Ássjátj S")</f>
        <v/>
      </c>
      <c r="Y4">
        <f>HYPERLINK("https://klasma.github.io/Logging_FORSKNINGSRESAN_2026_ARJEPLOG/kartor_geotiff/Muorkenåive-Ássjátj S georefererad karta.tif", "Muorkenåive-Ássjátj S")</f>
        <v/>
      </c>
      <c r="AA4">
        <f>HYPERLINK("https://klasma.github.io/Logging_FORSKNINGSRESAN_2026_ARJEPLOG/klagomål/Muorkenåive-Ássjátj S FSC-klagomål.docx", "Muorkenåive-Ássjátj S")</f>
        <v/>
      </c>
      <c r="AB4">
        <f>HYPERLINK("https://klasma.github.io/Logging_FORSKNINGSRESAN_2026_ARJEPLOG/klagomålsmail/Muorkenåive-Ássjátj S FSC-klagomål mail.docx", "Muorkenåive-Ássjátj S")</f>
        <v/>
      </c>
      <c r="AC4">
        <f>HYPERLINK("https://klasma.github.io/Logging_FORSKNINGSRESAN_2026_ARJEPLOG/tillsyn/Muorkenåive-Ássjátj S tillsynsbegäran.docx", "Muorkenåive-Ássjátj S")</f>
        <v/>
      </c>
      <c r="AD4">
        <f>HYPERLINK("https://klasma.github.io/Logging_FORSKNINGSRESAN_2026_ARJEPLOG/tillsynsmail/Muorkenåive-Ássjátj S tillsynsbegäran mail.docx", "Muorkenåive-Ássjátj S")</f>
        <v/>
      </c>
      <c r="AE4">
        <f>HYPERLINK("https://klasma.github.io/Logging_FORSKNINGSRESAN_2026_ARJEPLOG/fåglar/Muorkenåive-Ássjátj S prioriterade fågelarter.docx", "Muorkenåive-Ássjátj S")</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3</t>
        </is>
      </c>
      <c r="AJ4" t="n">
        <v/>
      </c>
    </row>
    <row r="5" ht="15" customHeight="1">
      <c r="A5" t="inlineStr">
        <is>
          <t>Gålggåmisvárre</t>
        </is>
      </c>
      <c r="B5" t="inlineStr">
        <is>
          <t>inventeringsområde</t>
        </is>
      </c>
      <c r="D5" s="1" t="n">
        <v>46223</v>
      </c>
      <c r="E5" s="1" t="n">
        <v>46227</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46227</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46227</v>
      </c>
      <c r="F7" t="inlineStr">
        <is>
          <t>Norrbottens län</t>
        </is>
      </c>
      <c r="G7" t="inlineStr">
        <is>
          <t>Arjeplog</t>
        </is>
      </c>
      <c r="H7" t="inlineStr">
        <is>
          <t>Sveaskog</t>
        </is>
      </c>
      <c r="I7" t="n">
        <v>68.2</v>
      </c>
      <c r="J7" t="n">
        <v>11</v>
      </c>
      <c r="K7" t="n">
        <v>11</v>
      </c>
      <c r="L7" t="n">
        <v>20</v>
      </c>
      <c r="M7" t="n">
        <v>5</v>
      </c>
      <c r="N7" t="n">
        <v>0</v>
      </c>
      <c r="O7" t="n">
        <v>0</v>
      </c>
      <c r="P7" t="n">
        <v>0</v>
      </c>
      <c r="Q7" t="n">
        <v>25</v>
      </c>
      <c r="R7" t="n">
        <v>5</v>
      </c>
      <c r="S7" t="n">
        <v>42</v>
      </c>
      <c r="T7" t="n">
        <v>202</v>
      </c>
      <c r="U7" t="n">
        <v>199</v>
      </c>
      <c r="V7"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46227</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Svanvik SO avvanm</t>
        </is>
      </c>
      <c r="B9" t="inlineStr">
        <is>
          <t>inventeringsområde</t>
        </is>
      </c>
      <c r="D9" s="1" t="n">
        <v>46223</v>
      </c>
      <c r="E9" s="1" t="n">
        <v>46227</v>
      </c>
      <c r="F9" t="inlineStr">
        <is>
          <t>Norrbottens län</t>
        </is>
      </c>
      <c r="G9" t="inlineStr">
        <is>
          <t>Arjeplog</t>
        </is>
      </c>
      <c r="I9" t="n">
        <v>12.9</v>
      </c>
      <c r="J9" t="n">
        <v>8</v>
      </c>
      <c r="K9" t="n">
        <v>11</v>
      </c>
      <c r="L9" t="n">
        <v>15</v>
      </c>
      <c r="M9" t="n">
        <v>8</v>
      </c>
      <c r="N9" t="n">
        <v>0</v>
      </c>
      <c r="O9" t="n">
        <v>0</v>
      </c>
      <c r="P9" t="n">
        <v>0</v>
      </c>
      <c r="Q9" t="n">
        <v>23</v>
      </c>
      <c r="R9" t="n">
        <v>8</v>
      </c>
      <c r="S9" t="n">
        <v>36</v>
      </c>
      <c r="T9" t="n">
        <v>254</v>
      </c>
      <c r="U9" t="n">
        <v>254</v>
      </c>
      <c r="V9"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9">
        <f>HYPERLINK("https://klasma.github.io/Logging_FORSKNINGSRESAN_2026_ARJEPLOG/artfynd/Svanvik SO avvanm artfynd.xlsx", "Svanvik SO avvanm")</f>
        <v/>
      </c>
      <c r="X9">
        <f>HYPERLINK("https://klasma.github.io/Logging_FORSKNINGSRESAN_2026_ARJEPLOG/kartor/Svanvik SO avvanm karta.png", "Svanvik SO avvanm")</f>
        <v/>
      </c>
      <c r="Y9">
        <f>HYPERLINK("https://klasma.github.io/Logging_FORSKNINGSRESAN_2026_ARJEPLOG/kartor_geotiff/Svanvik SO avvanm georefererad karta.tif", "Svanvik SO avvanm")</f>
        <v/>
      </c>
      <c r="Z9">
        <f>HYPERLINK("https://klasma.github.io/Logging_FORSKNINGSRESAN_2026_ARJEPLOG/knärot/Svanvik SO avvanm karta knärot.png", "Svanvik SO avvanm")</f>
        <v/>
      </c>
      <c r="AA9">
        <f>HYPERLINK("https://klasma.github.io/Logging_FORSKNINGSRESAN_2026_ARJEPLOG/klagomål/Svanvik SO avvanm FSC-klagomål.docx", "Svanvik SO avvanm")</f>
        <v/>
      </c>
      <c r="AB9">
        <f>HYPERLINK("https://klasma.github.io/Logging_FORSKNINGSRESAN_2026_ARJEPLOG/klagomålsmail/Svanvik SO avvanm FSC-klagomål mail.docx", "Svanvik SO avvanm")</f>
        <v/>
      </c>
      <c r="AC9">
        <f>HYPERLINK("https://klasma.github.io/Logging_FORSKNINGSRESAN_2026_ARJEPLOG/tillsyn/Svanvik SO avvanm tillsynsbegäran.docx", "Svanvik SO avvanm")</f>
        <v/>
      </c>
      <c r="AD9">
        <f>HYPERLINK("https://klasma.github.io/Logging_FORSKNINGSRESAN_2026_ARJEPLOG/tillsynsmail/Svanvik SO avvanm tillsynsbegäran mail.docx", "Svanvik SO avvanm")</f>
        <v/>
      </c>
      <c r="AE9">
        <f>HYPERLINK("https://klasma.github.io/Logging_FORSKNINGSRESAN_2026_ARJEPLOG/fåglar/Svanvik SO avvanm prioriterade fågelarter.docx", "Svanvik SO avvanm")</f>
        <v/>
      </c>
      <c r="AF9" t="inlineStr">
        <is>
          <t>Grannaturskog</t>
        </is>
      </c>
      <c r="AG9" t="n">
        <v>1</v>
      </c>
      <c r="AH9" t="inlineStr">
        <is>
          <t>Privat</t>
        </is>
      </c>
      <c r="AI9" t="inlineStr">
        <is>
          <t>Dag Gran: Gr 1 (prio 1)</t>
        </is>
      </c>
      <c r="AJ9" t="n">
        <v/>
      </c>
    </row>
    <row r="10" ht="15" customHeight="1">
      <c r="A10" t="inlineStr">
        <is>
          <t>Maskaure Skornjamyran avvanm, 11,2 ha</t>
        </is>
      </c>
      <c r="B10" t="inlineStr">
        <is>
          <t>inventeringsområde</t>
        </is>
      </c>
      <c r="D10" s="1" t="n">
        <v>46223</v>
      </c>
      <c r="E10" s="1" t="n">
        <v>46227</v>
      </c>
      <c r="F10" t="inlineStr">
        <is>
          <t>Norrbottens län</t>
        </is>
      </c>
      <c r="G10" t="inlineStr">
        <is>
          <t>Arjeplog</t>
        </is>
      </c>
      <c r="I10" t="n">
        <v>11.2</v>
      </c>
      <c r="J10" t="n">
        <v>4</v>
      </c>
      <c r="K10" t="n">
        <v>6</v>
      </c>
      <c r="L10" t="n">
        <v>18</v>
      </c>
      <c r="M10" t="n">
        <v>8</v>
      </c>
      <c r="N10" t="n">
        <v>0</v>
      </c>
      <c r="O10" t="n">
        <v>0</v>
      </c>
      <c r="P10" t="n">
        <v>0</v>
      </c>
      <c r="Q10" t="n">
        <v>26</v>
      </c>
      <c r="R10" t="n">
        <v>8</v>
      </c>
      <c r="S10" t="n">
        <v>33</v>
      </c>
      <c r="T10" t="n">
        <v>133</v>
      </c>
      <c r="U10" t="n">
        <v>133</v>
      </c>
      <c r="V10"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0">
        <f>HYPERLINK("https://klasma.github.io/Logging_FORSKNINGSRESAN_2026_ARJEPLOG/artfynd/Maskaure Skornjamyran avvanm, 11,2 ha artfynd.xlsx", "Maskaure Skornjamyran avvanm, 11,2 ha")</f>
        <v/>
      </c>
      <c r="X10">
        <f>HYPERLINK("https://klasma.github.io/Logging_FORSKNINGSRESAN_2026_ARJEPLOG/kartor/Maskaure Skornjamyran avvanm, 11,2 ha karta.png", "Maskaure Skornjamyran avvanm, 11,2 ha")</f>
        <v/>
      </c>
      <c r="Y10">
        <f>HYPERLINK("https://klasma.github.io/Logging_FORSKNINGSRESAN_2026_ARJEPLOG/kartor_geotiff/Maskaure Skornjamyran avvanm, 11,2 ha georefererad karta.tif", "Maskaure Skornjamyran avvanm, 11,2 ha")</f>
        <v/>
      </c>
      <c r="AA10">
        <f>HYPERLINK("https://klasma.github.io/Logging_FORSKNINGSRESAN_2026_ARJEPLOG/klagomål/Maskaure Skornjamyran avvanm, 11,2 ha FSC-klagomål.docx", "Maskaure Skornjamyran avvanm, 11,2 ha")</f>
        <v/>
      </c>
      <c r="AB10">
        <f>HYPERLINK("https://klasma.github.io/Logging_FORSKNINGSRESAN_2026_ARJEPLOG/klagomålsmail/Maskaure Skornjamyran avvanm, 11,2 ha FSC-klagomål mail.docx", "Maskaure Skornjamyran avvanm, 11,2 ha")</f>
        <v/>
      </c>
      <c r="AC10">
        <f>HYPERLINK("https://klasma.github.io/Logging_FORSKNINGSRESAN_2026_ARJEPLOG/tillsyn/Maskaure Skornjamyran avvanm, 11,2 ha tillsynsbegäran.docx", "Maskaure Skornjamyran avvanm, 11,2 ha")</f>
        <v/>
      </c>
      <c r="AD10">
        <f>HYPERLINK("https://klasma.github.io/Logging_FORSKNINGSRESAN_2026_ARJEPLOG/tillsynsmail/Maskaure Skornjamyran avvanm, 11,2 ha tillsynsbegäran mail.docx", "Maskaure Skornjamyran avvanm, 11,2 ha")</f>
        <v/>
      </c>
      <c r="AE10">
        <f>HYPERLINK("https://klasma.github.io/Logging_FORSKNINGSRESAN_2026_ARJEPLOG/fåglar/Maskaure Skornjamyran avvanm, 11,2 ha prioriterade fågelarter.docx", "Maskaure Skornjamyran avvanm, 11,2 ha")</f>
        <v/>
      </c>
      <c r="AF10" t="inlineStr">
        <is>
          <t>mest gran, nyckelbiotop, avvanm</t>
        </is>
      </c>
      <c r="AG10" t="n">
        <v>1</v>
      </c>
      <c r="AH10" t="inlineStr">
        <is>
          <t>Privat</t>
        </is>
      </c>
      <c r="AI10" t="inlineStr">
        <is>
          <t>Ons: Gr 3</t>
        </is>
      </c>
      <c r="AJ10" t="inlineStr">
        <is>
          <t>A 45924-2023</t>
        </is>
      </c>
    </row>
    <row r="11" ht="15" customHeight="1">
      <c r="A11" t="inlineStr">
        <is>
          <t>Maskaure Tsågávrrie avvanm, 17,8 ha</t>
        </is>
      </c>
      <c r="B11" t="inlineStr">
        <is>
          <t>inventeringsområde</t>
        </is>
      </c>
      <c r="D11" s="1" t="n">
        <v>46223</v>
      </c>
      <c r="E11" s="1" t="n">
        <v>46227</v>
      </c>
      <c r="F11" t="inlineStr">
        <is>
          <t>Norrbottens län</t>
        </is>
      </c>
      <c r="G11" t="inlineStr">
        <is>
          <t>Arjeplog</t>
        </is>
      </c>
      <c r="I11" t="n">
        <v>17.8</v>
      </c>
      <c r="J11" t="n">
        <v>7</v>
      </c>
      <c r="K11" t="n">
        <v>10</v>
      </c>
      <c r="L11" t="n">
        <v>17</v>
      </c>
      <c r="M11" t="n">
        <v>3</v>
      </c>
      <c r="N11" t="n">
        <v>0</v>
      </c>
      <c r="O11" t="n">
        <v>0</v>
      </c>
      <c r="P11" t="n">
        <v>0</v>
      </c>
      <c r="Q11" t="n">
        <v>20</v>
      </c>
      <c r="R11" t="n">
        <v>3</v>
      </c>
      <c r="S11" t="n">
        <v>33</v>
      </c>
      <c r="T11" t="n">
        <v>100</v>
      </c>
      <c r="U11" t="n">
        <v>100</v>
      </c>
      <c r="V11"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1">
        <f>HYPERLINK("https://klasma.github.io/Logging_FORSKNINGSRESAN_2026_ARJEPLOG/artfynd/Maskaure Tsågávrrie avvanm, 17,8 ha artfynd.xlsx", "Maskaure Tsågávrrie avvanm, 17,8 ha")</f>
        <v/>
      </c>
      <c r="X11">
        <f>HYPERLINK("https://klasma.github.io/Logging_FORSKNINGSRESAN_2026_ARJEPLOG/kartor/Maskaure Tsågávrrie avvanm, 17,8 ha karta.png", "Maskaure Tsågávrrie avvanm, 17,8 ha")</f>
        <v/>
      </c>
      <c r="Y11">
        <f>HYPERLINK("https://klasma.github.io/Logging_FORSKNINGSRESAN_2026_ARJEPLOG/kartor_geotiff/Maskaure Tsågávrrie avvanm, 17,8 ha georefererad karta.tif", "Maskaure Tsågávrrie avvanm, 17,8 ha")</f>
        <v/>
      </c>
      <c r="AA11">
        <f>HYPERLINK("https://klasma.github.io/Logging_FORSKNINGSRESAN_2026_ARJEPLOG/klagomål/Maskaure Tsågávrrie avvanm, 17,8 ha FSC-klagomål.docx", "Maskaure Tsågávrrie avvanm, 17,8 ha")</f>
        <v/>
      </c>
      <c r="AB11">
        <f>HYPERLINK("https://klasma.github.io/Logging_FORSKNINGSRESAN_2026_ARJEPLOG/klagomålsmail/Maskaure Tsågávrrie avvanm, 17,8 ha FSC-klagomål mail.docx", "Maskaure Tsågávrrie avvanm, 17,8 ha")</f>
        <v/>
      </c>
      <c r="AC11">
        <f>HYPERLINK("https://klasma.github.io/Logging_FORSKNINGSRESAN_2026_ARJEPLOG/tillsyn/Maskaure Tsågávrrie avvanm, 17,8 ha tillsynsbegäran.docx", "Maskaure Tsågávrrie avvanm, 17,8 ha")</f>
        <v/>
      </c>
      <c r="AD11">
        <f>HYPERLINK("https://klasma.github.io/Logging_FORSKNINGSRESAN_2026_ARJEPLOG/tillsynsmail/Maskaure Tsågávrrie avvanm, 17,8 ha tillsynsbegäran mail.docx", "Maskaure Tsågávrrie avvanm, 17,8 ha")</f>
        <v/>
      </c>
      <c r="AE11">
        <f>HYPERLINK("https://klasma.github.io/Logging_FORSKNINGSRESAN_2026_ARJEPLOG/fåglar/Maskaure Tsågávrrie avvanm, 17,8 ha prioriterade fågelarter.docx", "Maskaure Tsågávrrie avvanm, 17,8 ha")</f>
        <v/>
      </c>
      <c r="AF11" t="inlineStr">
        <is>
          <t>avvanm</t>
        </is>
      </c>
      <c r="AG11" t="n">
        <v>1</v>
      </c>
      <c r="AH11" t="inlineStr">
        <is>
          <t>Privat</t>
        </is>
      </c>
      <c r="AI11" t="inlineStr">
        <is>
          <t>Ons: Gr 2 (prio 3)</t>
        </is>
      </c>
      <c r="AJ11" t="inlineStr">
        <is>
          <t>A 64809-2023</t>
        </is>
      </c>
    </row>
    <row r="12" ht="15" customHeight="1">
      <c r="A12" t="inlineStr">
        <is>
          <t>Västra Kikkejaure korsningen Långviken avvanm</t>
        </is>
      </c>
      <c r="B12" t="inlineStr">
        <is>
          <t>inventeringsområde</t>
        </is>
      </c>
      <c r="D12" s="1" t="n">
        <v>46223</v>
      </c>
      <c r="E12" s="1" t="n">
        <v>46227</v>
      </c>
      <c r="F12" t="inlineStr">
        <is>
          <t>Norrbottens län</t>
        </is>
      </c>
      <c r="G12" t="inlineStr">
        <is>
          <t>Arjeplog</t>
        </is>
      </c>
      <c r="H12" t="inlineStr">
        <is>
          <t>Allmännings- och besparingsskogar</t>
        </is>
      </c>
      <c r="I12" t="n">
        <v>25.5</v>
      </c>
      <c r="J12" t="n">
        <v>4</v>
      </c>
      <c r="K12" t="n">
        <v>4</v>
      </c>
      <c r="L12" t="n">
        <v>20</v>
      </c>
      <c r="M12" t="n">
        <v>5</v>
      </c>
      <c r="N12" t="n">
        <v>1</v>
      </c>
      <c r="O12" t="n">
        <v>0</v>
      </c>
      <c r="P12" t="n">
        <v>0</v>
      </c>
      <c r="Q12" t="n">
        <v>26</v>
      </c>
      <c r="R12" t="n">
        <v>6</v>
      </c>
      <c r="S12" t="n">
        <v>32</v>
      </c>
      <c r="T12" t="n">
        <v>188</v>
      </c>
      <c r="U12" t="n">
        <v>188</v>
      </c>
      <c r="V12"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2">
        <f>HYPERLINK("https://klasma.github.io/Logging_FORSKNINGSRESAN_2026_ARJEPLOG/artfynd/Västra Kikkejaure korsningen Långviken avvanm artfynd.xlsx", "Västra Kikkejaure korsningen Långviken avvanm")</f>
        <v/>
      </c>
      <c r="X12">
        <f>HYPERLINK("https://klasma.github.io/Logging_FORSKNINGSRESAN_2026_ARJEPLOG/kartor/Västra Kikkejaure korsningen Långviken avvanm karta.png", "Västra Kikkejaure korsningen Långviken avvanm")</f>
        <v/>
      </c>
      <c r="Y12">
        <f>HYPERLINK("https://klasma.github.io/Logging_FORSKNINGSRESAN_2026_ARJEPLOG/kartor_geotiff/Västra Kikkejaure korsningen Långviken avvanm georefererad karta.tif", "Västra Kikkejaure korsningen Långviken avvanm")</f>
        <v/>
      </c>
      <c r="AA12">
        <f>HYPERLINK("https://klasma.github.io/Logging_FORSKNINGSRESAN_2026_ARJEPLOG/klagomål/Västra Kikkejaure korsningen Långviken avvanm FSC-klagomål.docx", "Västra Kikkejaure korsningen Långviken avvanm")</f>
        <v/>
      </c>
      <c r="AB12">
        <f>HYPERLINK("https://klasma.github.io/Logging_FORSKNINGSRESAN_2026_ARJEPLOG/klagomålsmail/Västra Kikkejaure korsningen Långviken avvanm FSC-klagomål mail.docx", "Västra Kikkejaure korsningen Långviken avvanm")</f>
        <v/>
      </c>
      <c r="AC12">
        <f>HYPERLINK("https://klasma.github.io/Logging_FORSKNINGSRESAN_2026_ARJEPLOG/tillsyn/Västra Kikkejaure korsningen Långviken avvanm tillsynsbegäran.docx", "Västra Kikkejaure korsningen Långviken avvanm")</f>
        <v/>
      </c>
      <c r="AD12">
        <f>HYPERLINK("https://klasma.github.io/Logging_FORSKNINGSRESAN_2026_ARJEPLOG/tillsynsmail/Västra Kikkejaure korsningen Långviken avvanm tillsynsbegäran mail.docx", "Västra Kikkejaure korsningen Långviken avvanm")</f>
        <v/>
      </c>
      <c r="AE12">
        <f>HYPERLINK("https://klasma.github.io/Logging_FORSKNINGSRESAN_2026_ARJEPLOG/fåglar/Västra Kikkejaure korsningen Långviken avvanm prioriterade fågelarter.docx", "Västra Kikkejaure korsningen Långviken avvanm")</f>
        <v/>
      </c>
      <c r="AF12" t="inlineStr">
        <is>
          <t>avvanm, tallnaturskog med silverved</t>
        </is>
      </c>
      <c r="AG12" t="n">
        <v>1</v>
      </c>
      <c r="AH12" t="inlineStr">
        <is>
          <t>Allmännings- och besparingsskogar</t>
        </is>
      </c>
      <c r="AI12" t="inlineStr">
        <is>
          <t>Tis: Gr 2 (prio 1)</t>
        </is>
      </c>
      <c r="AJ12" t="inlineStr">
        <is>
          <t>A 45924-2023</t>
        </is>
      </c>
    </row>
    <row r="13" ht="15" customHeight="1">
      <c r="A13" t="inlineStr">
        <is>
          <t>Bergmyrarna avvanm</t>
        </is>
      </c>
      <c r="B13" t="inlineStr">
        <is>
          <t>inventeringsområde</t>
        </is>
      </c>
      <c r="D13" s="1" t="n">
        <v>46223</v>
      </c>
      <c r="E13" s="1" t="n">
        <v>46227</v>
      </c>
      <c r="F13" t="inlineStr">
        <is>
          <t>Norrbottens län</t>
        </is>
      </c>
      <c r="G13" t="inlineStr">
        <is>
          <t>Arjeplog</t>
        </is>
      </c>
      <c r="H13" t="inlineStr">
        <is>
          <t>Allmännings- och besparingsskogar</t>
        </is>
      </c>
      <c r="I13" t="n">
        <v>17.7</v>
      </c>
      <c r="J13" t="n">
        <v>9</v>
      </c>
      <c r="K13" t="n">
        <v>8</v>
      </c>
      <c r="L13" t="n">
        <v>16</v>
      </c>
      <c r="M13" t="n">
        <v>5</v>
      </c>
      <c r="N13" t="n">
        <v>0</v>
      </c>
      <c r="O13" t="n">
        <v>0</v>
      </c>
      <c r="P13" t="n">
        <v>0</v>
      </c>
      <c r="Q13" t="n">
        <v>21</v>
      </c>
      <c r="R13" t="n">
        <v>5</v>
      </c>
      <c r="S13" t="n">
        <v>32</v>
      </c>
      <c r="T13" t="n">
        <v>252</v>
      </c>
      <c r="U13" t="n">
        <v>252</v>
      </c>
      <c r="V13"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Maskaure Uddnäs avvanm, 4,6 ha</t>
        </is>
      </c>
      <c r="B14" t="inlineStr">
        <is>
          <t>inventeringsområde</t>
        </is>
      </c>
      <c r="D14" s="1" t="n">
        <v>46223</v>
      </c>
      <c r="E14" s="1" t="n">
        <v>46227</v>
      </c>
      <c r="F14" t="inlineStr">
        <is>
          <t>Norrbottens län</t>
        </is>
      </c>
      <c r="G14" t="inlineStr">
        <is>
          <t>Arjeplog</t>
        </is>
      </c>
      <c r="I14" t="n">
        <v>4.6</v>
      </c>
      <c r="J14" t="n">
        <v>4</v>
      </c>
      <c r="K14" t="n">
        <v>5</v>
      </c>
      <c r="L14" t="n">
        <v>18</v>
      </c>
      <c r="M14" t="n">
        <v>5</v>
      </c>
      <c r="N14" t="n">
        <v>0</v>
      </c>
      <c r="O14" t="n">
        <v>0</v>
      </c>
      <c r="P14" t="n">
        <v>0</v>
      </c>
      <c r="Q14" t="n">
        <v>23</v>
      </c>
      <c r="R14" t="n">
        <v>5</v>
      </c>
      <c r="S14" t="n">
        <v>29</v>
      </c>
      <c r="T14" t="n">
        <v>109</v>
      </c>
      <c r="U14" t="n">
        <v>109</v>
      </c>
      <c r="V14"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4">
        <f>HYPERLINK("https://klasma.github.io/Logging_FORSKNINGSRESAN_2026_ARJEPLOG/artfynd/Maskaure Uddnäs avvanm, 4,6 ha artfynd.xlsx", "Maskaure Uddnäs avvanm, 4,6 ha")</f>
        <v/>
      </c>
      <c r="X14">
        <f>HYPERLINK("https://klasma.github.io/Logging_FORSKNINGSRESAN_2026_ARJEPLOG/kartor/Maskaure Uddnäs avvanm, 4,6 ha karta.png", "Maskaure Uddnäs avvanm, 4,6 ha")</f>
        <v/>
      </c>
      <c r="Y14">
        <f>HYPERLINK("https://klasma.github.io/Logging_FORSKNINGSRESAN_2026_ARJEPLOG/kartor_geotiff/Maskaure Uddnäs avvanm, 4,6 ha georefererad karta.tif", "Maskaure Uddnäs avvanm, 4,6 ha")</f>
        <v/>
      </c>
      <c r="AA14">
        <f>HYPERLINK("https://klasma.github.io/Logging_FORSKNINGSRESAN_2026_ARJEPLOG/klagomål/Maskaure Uddnäs avvanm, 4,6 ha FSC-klagomål.docx", "Maskaure Uddnäs avvanm, 4,6 ha")</f>
        <v/>
      </c>
      <c r="AB14">
        <f>HYPERLINK("https://klasma.github.io/Logging_FORSKNINGSRESAN_2026_ARJEPLOG/klagomålsmail/Maskaure Uddnäs avvanm, 4,6 ha FSC-klagomål mail.docx", "Maskaure Uddnäs avvanm, 4,6 ha")</f>
        <v/>
      </c>
      <c r="AC14">
        <f>HYPERLINK("https://klasma.github.io/Logging_FORSKNINGSRESAN_2026_ARJEPLOG/tillsyn/Maskaure Uddnäs avvanm, 4,6 ha tillsynsbegäran.docx", "Maskaure Uddnäs avvanm, 4,6 ha")</f>
        <v/>
      </c>
      <c r="AD14">
        <f>HYPERLINK("https://klasma.github.io/Logging_FORSKNINGSRESAN_2026_ARJEPLOG/tillsynsmail/Maskaure Uddnäs avvanm, 4,6 ha tillsynsbegäran mail.docx", "Maskaure Uddnäs avvanm, 4,6 ha")</f>
        <v/>
      </c>
      <c r="AE14">
        <f>HYPERLINK("https://klasma.github.io/Logging_FORSKNINGSRESAN_2026_ARJEPLOG/fåglar/Maskaure Uddnäs avvanm, 4,6 ha prioriterade fågelarter.docx", "Maskaure Uddnäs avvanm, 4,6 ha")</f>
        <v/>
      </c>
      <c r="AF14" t="inlineStr">
        <is>
          <t>Barrblandskog med äldre gran, nyckelbiotop, avvanm</t>
        </is>
      </c>
      <c r="AG14" t="n">
        <v>1</v>
      </c>
      <c r="AH14" t="inlineStr">
        <is>
          <t>Privat</t>
        </is>
      </c>
      <c r="AI14" t="inlineStr">
        <is>
          <t>Ons: Gr 3</t>
        </is>
      </c>
      <c r="AJ14" t="inlineStr">
        <is>
          <t>A 37442-2025</t>
        </is>
      </c>
    </row>
    <row r="15" ht="15" customHeight="1">
      <c r="A15" t="inlineStr">
        <is>
          <t>Maskaure Långmyran SV, 6,8 ha</t>
        </is>
      </c>
      <c r="B15" t="inlineStr">
        <is>
          <t>inventeringsområde</t>
        </is>
      </c>
      <c r="D15" s="1" t="n">
        <v>46223</v>
      </c>
      <c r="E15" s="1" t="n">
        <v>46227</v>
      </c>
      <c r="F15" t="inlineStr">
        <is>
          <t>Norrbottens län</t>
        </is>
      </c>
      <c r="G15" t="inlineStr">
        <is>
          <t>Arjeplog</t>
        </is>
      </c>
      <c r="H15" t="inlineStr">
        <is>
          <t>Sveaskog</t>
        </is>
      </c>
      <c r="I15" t="n">
        <v>6.9</v>
      </c>
      <c r="J15" t="n">
        <v>4</v>
      </c>
      <c r="K15" t="n">
        <v>3</v>
      </c>
      <c r="L15" t="n">
        <v>16</v>
      </c>
      <c r="M15" t="n">
        <v>4</v>
      </c>
      <c r="N15" t="n">
        <v>0</v>
      </c>
      <c r="O15" t="n">
        <v>0</v>
      </c>
      <c r="P15" t="n">
        <v>0</v>
      </c>
      <c r="Q15" t="n">
        <v>20</v>
      </c>
      <c r="R15" t="n">
        <v>4</v>
      </c>
      <c r="S15" t="n">
        <v>27</v>
      </c>
      <c r="T15" t="n">
        <v>65</v>
      </c>
      <c r="U15" t="n">
        <v>57</v>
      </c>
      <c r="V15"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5">
        <f>HYPERLINK("https://klasma.github.io/Logging_FORSKNINGSRESAN_2026_ARJEPLOG/artfynd/Maskaure Långmyran SV, 6,8 ha artfynd.xlsx", "Maskaure Långmyran SV, 6,8 ha")</f>
        <v/>
      </c>
      <c r="X15">
        <f>HYPERLINK("https://klasma.github.io/Logging_FORSKNINGSRESAN_2026_ARJEPLOG/kartor/Maskaure Långmyran SV, 6,8 ha karta.png", "Maskaure Långmyran SV, 6,8 ha")</f>
        <v/>
      </c>
      <c r="Y15">
        <f>HYPERLINK("https://klasma.github.io/Logging_FORSKNINGSRESAN_2026_ARJEPLOG/kartor_geotiff/Maskaure Långmyran SV, 6,8 ha georefererad karta.tif", "Maskaure Långmyran SV, 6,8 ha")</f>
        <v/>
      </c>
      <c r="AA15">
        <f>HYPERLINK("https://klasma.github.io/Logging_FORSKNINGSRESAN_2026_ARJEPLOG/klagomål/Maskaure Långmyran SV, 6,8 ha FSC-klagomål.docx", "Maskaure Långmyran SV, 6,8 ha")</f>
        <v/>
      </c>
      <c r="AB15">
        <f>HYPERLINK("https://klasma.github.io/Logging_FORSKNINGSRESAN_2026_ARJEPLOG/klagomålsmail/Maskaure Långmyran SV, 6,8 ha FSC-klagomål mail.docx", "Maskaure Långmyran SV, 6,8 ha")</f>
        <v/>
      </c>
      <c r="AC15">
        <f>HYPERLINK("https://klasma.github.io/Logging_FORSKNINGSRESAN_2026_ARJEPLOG/tillsyn/Maskaure Långmyran SV, 6,8 ha tillsynsbegäran.docx", "Maskaure Långmyran SV, 6,8 ha")</f>
        <v/>
      </c>
      <c r="AD15">
        <f>HYPERLINK("https://klasma.github.io/Logging_FORSKNINGSRESAN_2026_ARJEPLOG/tillsynsmail/Maskaure Långmyran SV, 6,8 ha tillsynsbegäran mail.docx", "Maskaure Långmyran SV, 6,8 ha")</f>
        <v/>
      </c>
      <c r="AE15">
        <f>HYPERLINK("https://klasma.github.io/Logging_FORSKNINGSRESAN_2026_ARJEPLOG/fåglar/Maskaure Långmyran SV, 6,8 ha prioriterade fågelarter.docx", "Maskaure Långmyran SV, 6,8 ha")</f>
        <v/>
      </c>
      <c r="AF15" t="n">
        <v/>
      </c>
      <c r="AG15" t="n">
        <v>1</v>
      </c>
      <c r="AH15" t="inlineStr">
        <is>
          <t>Sveaskog</t>
        </is>
      </c>
      <c r="AI15" t="inlineStr">
        <is>
          <t>Ons: Gr 3</t>
        </is>
      </c>
      <c r="AJ15" t="n">
        <v/>
      </c>
    </row>
    <row r="16" ht="15" customHeight="1">
      <c r="A16" t="inlineStr">
        <is>
          <t>Västra Kikkejaure Rengärdet avvanm</t>
        </is>
      </c>
      <c r="B16" t="inlineStr">
        <is>
          <t>inventeringsområde</t>
        </is>
      </c>
      <c r="D16" s="1" t="n">
        <v>46223</v>
      </c>
      <c r="E16" s="1" t="n">
        <v>46227</v>
      </c>
      <c r="F16" t="inlineStr">
        <is>
          <t>Norrbottens län</t>
        </is>
      </c>
      <c r="G16" t="inlineStr">
        <is>
          <t>Arjeplog</t>
        </is>
      </c>
      <c r="H16" t="inlineStr">
        <is>
          <t>Allmännings- och besparingsskogar</t>
        </is>
      </c>
      <c r="I16" t="n">
        <v>10.4</v>
      </c>
      <c r="J16" t="n">
        <v>5</v>
      </c>
      <c r="K16" t="n">
        <v>3</v>
      </c>
      <c r="L16" t="n">
        <v>18</v>
      </c>
      <c r="M16" t="n">
        <v>3</v>
      </c>
      <c r="N16" t="n">
        <v>0</v>
      </c>
      <c r="O16" t="n">
        <v>0</v>
      </c>
      <c r="P16" t="n">
        <v>0</v>
      </c>
      <c r="Q16" t="n">
        <v>21</v>
      </c>
      <c r="R16" t="n">
        <v>3</v>
      </c>
      <c r="S16" t="n">
        <v>26</v>
      </c>
      <c r="T16" t="n">
        <v>95</v>
      </c>
      <c r="U16" t="n">
        <v>61</v>
      </c>
      <c r="V16"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6">
        <f>HYPERLINK("https://klasma.github.io/Logging_FORSKNINGSRESAN_2026_ARJEPLOG/artfynd/Västra Kikkejaure Rengärdet avvanm artfynd.xlsx", "Västra Kikkejaure Rengärdet avvanm")</f>
        <v/>
      </c>
      <c r="X16">
        <f>HYPERLINK("https://klasma.github.io/Logging_FORSKNINGSRESAN_2026_ARJEPLOG/kartor/Västra Kikkejaure Rengärdet avvanm karta.png", "Västra Kikkejaure Rengärdet avvanm")</f>
        <v/>
      </c>
      <c r="Y16">
        <f>HYPERLINK("https://klasma.github.io/Logging_FORSKNINGSRESAN_2026_ARJEPLOG/kartor_geotiff/Västra Kikkejaure Rengärdet avvanm georefererad karta.tif", "Västra Kikkejaure Rengärdet avvanm")</f>
        <v/>
      </c>
      <c r="AA16">
        <f>HYPERLINK("https://klasma.github.io/Logging_FORSKNINGSRESAN_2026_ARJEPLOG/klagomål/Västra Kikkejaure Rengärdet avvanm FSC-klagomål.docx", "Västra Kikkejaure Rengärdet avvanm")</f>
        <v/>
      </c>
      <c r="AB16">
        <f>HYPERLINK("https://klasma.github.io/Logging_FORSKNINGSRESAN_2026_ARJEPLOG/klagomålsmail/Västra Kikkejaure Rengärdet avvanm FSC-klagomål mail.docx", "Västra Kikkejaure Rengärdet avvanm")</f>
        <v/>
      </c>
      <c r="AC16">
        <f>HYPERLINK("https://klasma.github.io/Logging_FORSKNINGSRESAN_2026_ARJEPLOG/tillsyn/Västra Kikkejaure Rengärdet avvanm tillsynsbegäran.docx", "Västra Kikkejaure Rengärdet avvanm")</f>
        <v/>
      </c>
      <c r="AD16">
        <f>HYPERLINK("https://klasma.github.io/Logging_FORSKNINGSRESAN_2026_ARJEPLOG/tillsynsmail/Västra Kikkejaure Rengärdet avvanm tillsynsbegäran mail.docx", "Västra Kikkejaure Rengärdet avvanm")</f>
        <v/>
      </c>
      <c r="AE16">
        <f>HYPERLINK("https://klasma.github.io/Logging_FORSKNINGSRESAN_2026_ARJEPLOG/fåglar/Västra Kikkejaure Rengärdet avvanm prioriterade fågelarter.docx", "Västra Kikkejaure Rengärdet avvanm")</f>
        <v/>
      </c>
      <c r="AF16" t="inlineStr">
        <is>
          <t>Delvis inventerad av Fältbiologerna, komplettera! avvanm</t>
        </is>
      </c>
      <c r="AG16" t="n">
        <v>1</v>
      </c>
      <c r="AH16" t="inlineStr">
        <is>
          <t>Allmännings- och besparingsskogar</t>
        </is>
      </c>
      <c r="AI16" t="inlineStr">
        <is>
          <t>Tis: Gr 2 (prio 2)</t>
        </is>
      </c>
      <c r="AJ16" t="inlineStr">
        <is>
          <t>A 26954-2022</t>
        </is>
      </c>
    </row>
    <row r="17" ht="15" customHeight="1">
      <c r="A17" t="inlineStr">
        <is>
          <t>Maskaure Renskötartjärnen, 8,3 ha</t>
        </is>
      </c>
      <c r="B17" t="inlineStr">
        <is>
          <t>inventeringsområde</t>
        </is>
      </c>
      <c r="D17" s="1" t="n">
        <v>46223</v>
      </c>
      <c r="E17" s="1" t="n">
        <v>46227</v>
      </c>
      <c r="F17" t="inlineStr">
        <is>
          <t>Norrbottens län</t>
        </is>
      </c>
      <c r="G17" t="inlineStr">
        <is>
          <t>Arjeplog</t>
        </is>
      </c>
      <c r="H17" t="inlineStr">
        <is>
          <t>Sveaskog</t>
        </is>
      </c>
      <c r="I17" t="n">
        <v>8.300000000000001</v>
      </c>
      <c r="J17" t="n">
        <v>2</v>
      </c>
      <c r="K17" t="n">
        <v>3</v>
      </c>
      <c r="L17" t="n">
        <v>12</v>
      </c>
      <c r="M17" t="n">
        <v>8</v>
      </c>
      <c r="N17" t="n">
        <v>0</v>
      </c>
      <c r="O17" t="n">
        <v>1</v>
      </c>
      <c r="P17" t="n">
        <v>0</v>
      </c>
      <c r="Q17" t="n">
        <v>21</v>
      </c>
      <c r="R17" t="n">
        <v>9</v>
      </c>
      <c r="S17" t="n">
        <v>25</v>
      </c>
      <c r="T17" t="n">
        <v>81</v>
      </c>
      <c r="U17" t="n">
        <v>49</v>
      </c>
      <c r="V17"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7">
        <f>HYPERLINK("https://klasma.github.io/Logging_FORSKNINGSRESAN_2026_ARJEPLOG/artfynd/Maskaure Renskötartjärnen, 8,3 ha artfynd.xlsx", "Maskaure Renskötartjärnen, 8,3 ha")</f>
        <v/>
      </c>
      <c r="X17">
        <f>HYPERLINK("https://klasma.github.io/Logging_FORSKNINGSRESAN_2026_ARJEPLOG/kartor/Maskaure Renskötartjärnen, 8,3 ha karta.png", "Maskaure Renskötartjärnen, 8,3 ha")</f>
        <v/>
      </c>
      <c r="Y17">
        <f>HYPERLINK("https://klasma.github.io/Logging_FORSKNINGSRESAN_2026_ARJEPLOG/kartor_geotiff/Maskaure Renskötartjärnen, 8,3 ha georefererad karta.tif", "Maskaure Renskötartjärnen, 8,3 ha")</f>
        <v/>
      </c>
      <c r="AA17">
        <f>HYPERLINK("https://klasma.github.io/Logging_FORSKNINGSRESAN_2026_ARJEPLOG/klagomål/Maskaure Renskötartjärnen, 8,3 ha FSC-klagomål.docx", "Maskaure Renskötartjärnen, 8,3 ha")</f>
        <v/>
      </c>
      <c r="AB17">
        <f>HYPERLINK("https://klasma.github.io/Logging_FORSKNINGSRESAN_2026_ARJEPLOG/klagomålsmail/Maskaure Renskötartjärnen, 8,3 ha FSC-klagomål mail.docx", "Maskaure Renskötartjärnen, 8,3 ha")</f>
        <v/>
      </c>
      <c r="AC17">
        <f>HYPERLINK("https://klasma.github.io/Logging_FORSKNINGSRESAN_2026_ARJEPLOG/tillsyn/Maskaure Renskötartjärnen, 8,3 ha tillsynsbegäran.docx", "Maskaure Renskötartjärnen, 8,3 ha")</f>
        <v/>
      </c>
      <c r="AD17">
        <f>HYPERLINK("https://klasma.github.io/Logging_FORSKNINGSRESAN_2026_ARJEPLOG/tillsynsmail/Maskaure Renskötartjärnen, 8,3 ha tillsynsbegäran mail.docx", "Maskaure Renskötartjärnen, 8,3 ha")</f>
        <v/>
      </c>
      <c r="AF17" t="inlineStr">
        <is>
          <t>k-skog, ej rekad</t>
        </is>
      </c>
      <c r="AG17" t="n">
        <v>1</v>
      </c>
      <c r="AH17" t="inlineStr">
        <is>
          <t>Sveaskog</t>
        </is>
      </c>
      <c r="AI17" t="inlineStr">
        <is>
          <t>Ons: Gr 3</t>
        </is>
      </c>
      <c r="AJ17" t="n">
        <v/>
      </c>
    </row>
    <row r="18" ht="15" customHeight="1">
      <c r="A18" t="inlineStr">
        <is>
          <t>Njuöniesvárrie NV avvanm</t>
        </is>
      </c>
      <c r="B18" t="inlineStr">
        <is>
          <t>inventeringsområde</t>
        </is>
      </c>
      <c r="D18" s="1" t="n">
        <v>46223</v>
      </c>
      <c r="E18" s="1" t="n">
        <v>46227</v>
      </c>
      <c r="F18" t="inlineStr">
        <is>
          <t>Norrbottens län</t>
        </is>
      </c>
      <c r="G18" t="inlineStr">
        <is>
          <t>Arjeplog</t>
        </is>
      </c>
      <c r="H18" t="inlineStr">
        <is>
          <t>Allmännings- och besparingsskogar</t>
        </is>
      </c>
      <c r="I18" t="n">
        <v>39.8</v>
      </c>
      <c r="J18" t="n">
        <v>4</v>
      </c>
      <c r="K18" t="n">
        <v>3</v>
      </c>
      <c r="L18" t="n">
        <v>13</v>
      </c>
      <c r="M18" t="n">
        <v>5</v>
      </c>
      <c r="N18" t="n">
        <v>1</v>
      </c>
      <c r="O18" t="n">
        <v>0</v>
      </c>
      <c r="P18" t="n">
        <v>0</v>
      </c>
      <c r="Q18" t="n">
        <v>19</v>
      </c>
      <c r="R18" t="n">
        <v>6</v>
      </c>
      <c r="S18" t="n">
        <v>23</v>
      </c>
      <c r="T18" t="n">
        <v>73</v>
      </c>
      <c r="U18" t="n">
        <v>73</v>
      </c>
      <c r="V18"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8">
        <f>HYPERLINK("https://klasma.github.io/Logging_FORSKNINGSRESAN_2026_ARJEPLOG/artfynd/Njuöniesvárrie NV avvanm artfynd.xlsx", "Njuöniesvárrie NV avvanm")</f>
        <v/>
      </c>
      <c r="X18">
        <f>HYPERLINK("https://klasma.github.io/Logging_FORSKNINGSRESAN_2026_ARJEPLOG/kartor/Njuöniesvárrie NV avvanm karta.png", "Njuöniesvárrie NV avvanm")</f>
        <v/>
      </c>
      <c r="Y18">
        <f>HYPERLINK("https://klasma.github.io/Logging_FORSKNINGSRESAN_2026_ARJEPLOG/kartor_geotiff/Njuöniesvárrie NV avvanm georefererad karta.tif", "Njuöniesvárrie NV avvanm")</f>
        <v/>
      </c>
      <c r="Z18">
        <f>HYPERLINK("https://klasma.github.io/Logging_FORSKNINGSRESAN_2026_ARJEPLOG/knärot/Njuöniesvárrie NV avvanm karta knärot.png", "Njuöniesvárrie NV avvanm")</f>
        <v/>
      </c>
      <c r="AA18">
        <f>HYPERLINK("https://klasma.github.io/Logging_FORSKNINGSRESAN_2026_ARJEPLOG/klagomål/Njuöniesvárrie NV avvanm FSC-klagomål.docx", "Njuöniesvárrie NV avvanm")</f>
        <v/>
      </c>
      <c r="AB18">
        <f>HYPERLINK("https://klasma.github.io/Logging_FORSKNINGSRESAN_2026_ARJEPLOG/klagomålsmail/Njuöniesvárrie NV avvanm FSC-klagomål mail.docx", "Njuöniesvárrie NV avvanm")</f>
        <v/>
      </c>
      <c r="AC18">
        <f>HYPERLINK("https://klasma.github.io/Logging_FORSKNINGSRESAN_2026_ARJEPLOG/tillsyn/Njuöniesvárrie NV avvanm tillsynsbegäran.docx", "Njuöniesvárrie NV avvanm")</f>
        <v/>
      </c>
      <c r="AD18">
        <f>HYPERLINK("https://klasma.github.io/Logging_FORSKNINGSRESAN_2026_ARJEPLOG/tillsynsmail/Njuöniesvárrie NV avvanm tillsynsbegäran mail.docx", "Njuöniesvárrie NV avvanm")</f>
        <v/>
      </c>
      <c r="AE18">
        <f>HYPERLINK("https://klasma.github.io/Logging_FORSKNINGSRESAN_2026_ARJEPLOG/fåglar/Njuöniesvárrie NV avvanm prioriterade fågelarter.docx", "Njuöniesvárrie NV avvanm")</f>
        <v/>
      </c>
      <c r="AF18" t="inlineStr">
        <is>
          <t>Barrblandskog, eventuellt bom!! avvanm</t>
        </is>
      </c>
      <c r="AG18" t="n">
        <v>1</v>
      </c>
      <c r="AH18" t="inlineStr">
        <is>
          <t>Allmännings- och besparingsskogar</t>
        </is>
      </c>
      <c r="AI18" t="n">
        <v/>
      </c>
      <c r="AJ18" t="n">
        <v/>
      </c>
    </row>
    <row r="19" ht="15" customHeight="1">
      <c r="A19" t="inlineStr">
        <is>
          <t>Maskaure Mullholm avvanm, 39,6 ha</t>
        </is>
      </c>
      <c r="B19" t="inlineStr">
        <is>
          <t>inventeringsområde</t>
        </is>
      </c>
      <c r="D19" s="1" t="n">
        <v>46223</v>
      </c>
      <c r="E19" s="1" t="n">
        <v>46227</v>
      </c>
      <c r="F19" t="inlineStr">
        <is>
          <t>Norrbottens län</t>
        </is>
      </c>
      <c r="G19" t="inlineStr">
        <is>
          <t>Arjeplog</t>
        </is>
      </c>
      <c r="I19" t="n">
        <v>39.6</v>
      </c>
      <c r="J19" t="n">
        <v>9</v>
      </c>
      <c r="K19" t="n">
        <v>2</v>
      </c>
      <c r="L19" t="n">
        <v>14</v>
      </c>
      <c r="M19" t="n">
        <v>1</v>
      </c>
      <c r="N19" t="n">
        <v>0</v>
      </c>
      <c r="O19" t="n">
        <v>0</v>
      </c>
      <c r="P19" t="n">
        <v>0</v>
      </c>
      <c r="Q19" t="n">
        <v>15</v>
      </c>
      <c r="R19" t="n">
        <v>1</v>
      </c>
      <c r="S19" t="n">
        <v>20</v>
      </c>
      <c r="T19" t="n">
        <v>66</v>
      </c>
      <c r="U19" t="n">
        <v>50</v>
      </c>
      <c r="V19" s="2" t="inlineStr">
        <is>
          <t>Fläckporing
Blanksvart spiklav
Drillsnäppa
Dropptaggsvamp
Duvhök
Dvärgbägarlav
Kortskaftad ärgspik
Lavskrika
Nordtagging
Talltagel
Talltita
Tretåig hackspett
Vedflamlav
Vedskivlav
Älg
Plattlummer
Vedticka
Spillkråka
Tjäder
Havsörn</t>
        </is>
      </c>
      <c r="W19">
        <f>HYPERLINK("https://klasma.github.io/Logging_FORSKNINGSRESAN_2026_ARJEPLOG/artfynd/Maskaure Mullholm avvanm, 39,6 ha artfynd.xlsx", "Maskaure Mullholm avvanm, 39,6 ha")</f>
        <v/>
      </c>
      <c r="X19">
        <f>HYPERLINK("https://klasma.github.io/Logging_FORSKNINGSRESAN_2026_ARJEPLOG/kartor/Maskaure Mullholm avvanm, 39,6 ha karta.png", "Maskaure Mullholm avvanm, 39,6 ha")</f>
        <v/>
      </c>
      <c r="Y19">
        <f>HYPERLINK("https://klasma.github.io/Logging_FORSKNINGSRESAN_2026_ARJEPLOG/kartor_geotiff/Maskaure Mullholm avvanm, 39,6 ha georefererad karta.tif", "Maskaure Mullholm avvanm, 39,6 ha")</f>
        <v/>
      </c>
      <c r="AA19">
        <f>HYPERLINK("https://klasma.github.io/Logging_FORSKNINGSRESAN_2026_ARJEPLOG/klagomål/Maskaure Mullholm avvanm, 39,6 ha FSC-klagomål.docx", "Maskaure Mullholm avvanm, 39,6 ha")</f>
        <v/>
      </c>
      <c r="AB19">
        <f>HYPERLINK("https://klasma.github.io/Logging_FORSKNINGSRESAN_2026_ARJEPLOG/klagomålsmail/Maskaure Mullholm avvanm, 39,6 ha FSC-klagomål mail.docx", "Maskaure Mullholm avvanm, 39,6 ha")</f>
        <v/>
      </c>
      <c r="AC19">
        <f>HYPERLINK("https://klasma.github.io/Logging_FORSKNINGSRESAN_2026_ARJEPLOG/tillsyn/Maskaure Mullholm avvanm, 39,6 ha tillsynsbegäran.docx", "Maskaure Mullholm avvanm, 39,6 ha")</f>
        <v/>
      </c>
      <c r="AD19">
        <f>HYPERLINK("https://klasma.github.io/Logging_FORSKNINGSRESAN_2026_ARJEPLOG/tillsynsmail/Maskaure Mullholm avvanm, 39,6 ha tillsynsbegäran mail.docx", "Maskaure Mullholm avvanm, 39,6 ha")</f>
        <v/>
      </c>
      <c r="AE19">
        <f>HYPERLINK("https://klasma.github.io/Logging_FORSKNINGSRESAN_2026_ARJEPLOG/fåglar/Maskaure Mullholm avvanm, 39,6 ha prioriterade fågelarter.docx", "Maskaure Mullholm avvanm, 39,6 ha")</f>
        <v/>
      </c>
      <c r="AF19" t="inlineStr">
        <is>
          <t>avvanm på en ö, skjuts över med båt</t>
        </is>
      </c>
      <c r="AG19" t="n">
        <v>1</v>
      </c>
      <c r="AH19" t="inlineStr">
        <is>
          <t>Privat</t>
        </is>
      </c>
      <c r="AI19" t="inlineStr">
        <is>
          <t>Ons: Gr 2 (prio 1)</t>
        </is>
      </c>
      <c r="AJ19" t="inlineStr">
        <is>
          <t>A 34430-2025</t>
        </is>
      </c>
    </row>
    <row r="20" ht="15" customHeight="1">
      <c r="A20" t="inlineStr">
        <is>
          <t>Maskaure Myrås avvanm, 5 ha</t>
        </is>
      </c>
      <c r="B20" t="inlineStr">
        <is>
          <t>inventeringsområde</t>
        </is>
      </c>
      <c r="D20" s="1" t="n">
        <v>46223</v>
      </c>
      <c r="E20" s="1" t="n">
        <v>46227</v>
      </c>
      <c r="F20" t="inlineStr">
        <is>
          <t>Norrbottens län</t>
        </is>
      </c>
      <c r="G20" t="inlineStr">
        <is>
          <t>Arjeplog</t>
        </is>
      </c>
      <c r="I20" t="n">
        <v>5</v>
      </c>
      <c r="J20" t="n">
        <v>3</v>
      </c>
      <c r="K20" t="n">
        <v>2</v>
      </c>
      <c r="L20" t="n">
        <v>12</v>
      </c>
      <c r="M20" t="n">
        <v>2</v>
      </c>
      <c r="N20" t="n">
        <v>0</v>
      </c>
      <c r="O20" t="n">
        <v>0</v>
      </c>
      <c r="P20" t="n">
        <v>0</v>
      </c>
      <c r="Q20" t="n">
        <v>14</v>
      </c>
      <c r="R20" t="n">
        <v>2</v>
      </c>
      <c r="S20" t="n">
        <v>17</v>
      </c>
      <c r="T20" t="n">
        <v>57</v>
      </c>
      <c r="U20" t="n">
        <v>42</v>
      </c>
      <c r="V20" s="2" t="inlineStr">
        <is>
          <t>Garnlav
Gränsticka
Blanksvart spiklav
Blågrå svartspik
Dvärgbägarlav
Gammelgransskål
Knottrig blåslav
Kolflarnlav
Kortskaftad ärgspik
Mörk kolflarnlav
Talltagel
Tretåig hackspett
Vedflamlav
Vedskivlav
Spindelblomster
Vedticka
Revlummer</t>
        </is>
      </c>
      <c r="W20">
        <f>HYPERLINK("https://klasma.github.io/Logging_FORSKNINGSRESAN_2026_ARJEPLOG/artfynd/Maskaure Myrås avvanm, 5 ha artfynd.xlsx", "Maskaure Myrås avvanm, 5 ha")</f>
        <v/>
      </c>
      <c r="X20">
        <f>HYPERLINK("https://klasma.github.io/Logging_FORSKNINGSRESAN_2026_ARJEPLOG/kartor/Maskaure Myrås avvanm, 5 ha karta.png", "Maskaure Myrås avvanm, 5 ha")</f>
        <v/>
      </c>
      <c r="Y20">
        <f>HYPERLINK("https://klasma.github.io/Logging_FORSKNINGSRESAN_2026_ARJEPLOG/kartor_geotiff/Maskaure Myrås avvanm, 5 ha georefererad karta.tif", "Maskaure Myrås avvanm, 5 ha")</f>
        <v/>
      </c>
      <c r="AA20">
        <f>HYPERLINK("https://klasma.github.io/Logging_FORSKNINGSRESAN_2026_ARJEPLOG/klagomål/Maskaure Myrås avvanm, 5 ha FSC-klagomål.docx", "Maskaure Myrås avvanm, 5 ha")</f>
        <v/>
      </c>
      <c r="AB20">
        <f>HYPERLINK("https://klasma.github.io/Logging_FORSKNINGSRESAN_2026_ARJEPLOG/klagomålsmail/Maskaure Myrås avvanm, 5 ha FSC-klagomål mail.docx", "Maskaure Myrås avvanm, 5 ha")</f>
        <v/>
      </c>
      <c r="AC20">
        <f>HYPERLINK("https://klasma.github.io/Logging_FORSKNINGSRESAN_2026_ARJEPLOG/tillsyn/Maskaure Myrås avvanm, 5 ha tillsynsbegäran.docx", "Maskaure Myrås avvanm, 5 ha")</f>
        <v/>
      </c>
      <c r="AD20">
        <f>HYPERLINK("https://klasma.github.io/Logging_FORSKNINGSRESAN_2026_ARJEPLOG/tillsynsmail/Maskaure Myrås avvanm, 5 ha tillsynsbegäran mail.docx", "Maskaure Myrås avvanm, 5 ha")</f>
        <v/>
      </c>
      <c r="AE20">
        <f>HYPERLINK("https://klasma.github.io/Logging_FORSKNINGSRESAN_2026_ARJEPLOG/fåglar/Maskaure Myrås avvanm, 5 ha prioriterade fågelarter.docx", "Maskaure Myrås avvanm, 5 ha")</f>
        <v/>
      </c>
      <c r="AF20" t="inlineStr">
        <is>
          <t>avvanm, delvis inventerad</t>
        </is>
      </c>
      <c r="AG20" t="n">
        <v>1</v>
      </c>
      <c r="AH20" t="inlineStr">
        <is>
          <t>Privat</t>
        </is>
      </c>
      <c r="AI20" t="inlineStr">
        <is>
          <t>Ons: Gr 2 (prio 2)</t>
        </is>
      </c>
      <c r="AJ20" t="inlineStr">
        <is>
          <t>A 64837-2023</t>
        </is>
      </c>
    </row>
    <row r="21" ht="15" customHeight="1">
      <c r="A21" t="inlineStr">
        <is>
          <t>Juvtábákte utvidgning S</t>
        </is>
      </c>
      <c r="B21" t="inlineStr">
        <is>
          <t>inventeringsområde</t>
        </is>
      </c>
      <c r="D21" s="1" t="n">
        <v>46223</v>
      </c>
      <c r="E21" s="1" t="n">
        <v>46227</v>
      </c>
      <c r="F21" t="inlineStr">
        <is>
          <t>Norrbottens län</t>
        </is>
      </c>
      <c r="G21" t="inlineStr">
        <is>
          <t>Arjeplog</t>
        </is>
      </c>
      <c r="H21" t="inlineStr">
        <is>
          <t>Övriga statliga verk och myndigheter</t>
        </is>
      </c>
      <c r="I21" t="n">
        <v>143</v>
      </c>
      <c r="J21" t="n">
        <v>9</v>
      </c>
      <c r="K21" t="n">
        <v>4</v>
      </c>
      <c r="L21" t="n">
        <v>9</v>
      </c>
      <c r="M21" t="n">
        <v>0</v>
      </c>
      <c r="N21" t="n">
        <v>0</v>
      </c>
      <c r="O21" t="n">
        <v>0</v>
      </c>
      <c r="P21" t="n">
        <v>0</v>
      </c>
      <c r="Q21" t="n">
        <v>9</v>
      </c>
      <c r="R21" t="n">
        <v>0</v>
      </c>
      <c r="S21" t="n">
        <v>17</v>
      </c>
      <c r="T21" t="n">
        <v>23</v>
      </c>
      <c r="U21" t="n">
        <v>1</v>
      </c>
      <c r="V21" s="2" t="inlineStr">
        <is>
          <t>Blå taggsvamp
Dropptaggsvamp
Lappmes
Lavskrika
Skarp dropptaggsvamp
Stickelfrö
Talltagel
Tretåig hackspett
Ullticka
Nordlig fjädermossa
Plattlummer
Spindelblomster
Ögonpyrola
Mattlummer
Brudsporre
Fläcknycklar
Revlummer</t>
        </is>
      </c>
      <c r="W21">
        <f>HYPERLINK("https://klasma.github.io/Logging_FORSKNINGSRESAN_2026_ARJEPLOG/artfynd/Juvtábákte utvidgning S artfynd.xlsx", "Juvtábákte utvidgning S")</f>
        <v/>
      </c>
      <c r="X21">
        <f>HYPERLINK("https://klasma.github.io/Logging_FORSKNINGSRESAN_2026_ARJEPLOG/kartor/Juvtábákte utvidgning S karta.png", "Juvtábákte utvidgning S")</f>
        <v/>
      </c>
      <c r="Y21">
        <f>HYPERLINK("https://klasma.github.io/Logging_FORSKNINGSRESAN_2026_ARJEPLOG/kartor_geotiff/Juvtábákte utvidgning S georefererad karta.tif", "Juvtábákte utvidgning S")</f>
        <v/>
      </c>
      <c r="AA21">
        <f>HYPERLINK("https://klasma.github.io/Logging_FORSKNINGSRESAN_2026_ARJEPLOG/klagomål/Juvtábákte utvidgning S FSC-klagomål.docx", "Juvtábákte utvidgning S")</f>
        <v/>
      </c>
      <c r="AB21">
        <f>HYPERLINK("https://klasma.github.io/Logging_FORSKNINGSRESAN_2026_ARJEPLOG/klagomålsmail/Juvtábákte utvidgning S FSC-klagomål mail.docx", "Juvtábákte utvidgning S")</f>
        <v/>
      </c>
      <c r="AC21">
        <f>HYPERLINK("https://klasma.github.io/Logging_FORSKNINGSRESAN_2026_ARJEPLOG/tillsyn/Juvtábákte utvidgning S tillsynsbegäran.docx", "Juvtábákte utvidgning S")</f>
        <v/>
      </c>
      <c r="AD21">
        <f>HYPERLINK("https://klasma.github.io/Logging_FORSKNINGSRESAN_2026_ARJEPLOG/tillsynsmail/Juvtábákte utvidgning S tillsynsbegäran mail.docx", "Juvtábákte utvidgning S")</f>
        <v/>
      </c>
      <c r="AE21">
        <f>HYPERLINK("https://klasma.github.io/Logging_FORSKNINGSRESAN_2026_ARJEPLOG/fåglar/Juvtábákte utvidgning S prioriterade fågelarter.docx", "Juvtábákte utvidgning S")</f>
        <v/>
      </c>
      <c r="AF21" t="inlineStr">
        <is>
          <t>Avskrevs på samr.möte 171116. Samr. m SFV gäller ej längre. Inv 2022 + branten på priv.m. Ö om. Viktigt för att få ner reservatet till allmän väg, vilket ökar tillgängligheten. Bytt namn 230314 till ...Silvervägen. /FF Bör ingå i planerat</t>
        </is>
      </c>
      <c r="AG21" t="n">
        <v>2</v>
      </c>
      <c r="AH21" t="inlineStr">
        <is>
          <t>Fastighetsverket</t>
        </is>
      </c>
      <c r="AI21" t="inlineStr">
        <is>
          <t>Tis: Gr 4</t>
        </is>
      </c>
      <c r="AJ21" t="n">
        <v/>
      </c>
    </row>
    <row r="22" ht="15" customHeight="1">
      <c r="A22" t="inlineStr">
        <is>
          <t>Bremudden avvanm</t>
        </is>
      </c>
      <c r="B22" t="inlineStr">
        <is>
          <t>inventeringsområde</t>
        </is>
      </c>
      <c r="D22" s="1" t="n">
        <v>46223</v>
      </c>
      <c r="E22" s="1" t="n">
        <v>46227</v>
      </c>
      <c r="F22" t="inlineStr">
        <is>
          <t>Norrbottens län</t>
        </is>
      </c>
      <c r="G22" t="inlineStr">
        <is>
          <t>Arjeplog</t>
        </is>
      </c>
      <c r="I22" t="n">
        <v>19.7</v>
      </c>
      <c r="J22" t="n">
        <v>4</v>
      </c>
      <c r="K22" t="n">
        <v>0</v>
      </c>
      <c r="L22" t="n">
        <v>10</v>
      </c>
      <c r="M22" t="n">
        <v>3</v>
      </c>
      <c r="N22" t="n">
        <v>0</v>
      </c>
      <c r="O22" t="n">
        <v>0</v>
      </c>
      <c r="P22" t="n">
        <v>0</v>
      </c>
      <c r="Q22" t="n">
        <v>13</v>
      </c>
      <c r="R22" t="n">
        <v>3</v>
      </c>
      <c r="S22" t="n">
        <v>16</v>
      </c>
      <c r="T22" t="n">
        <v>20</v>
      </c>
      <c r="U22" t="n">
        <v>20</v>
      </c>
      <c r="V22" s="2" t="inlineStr">
        <is>
          <t>Fläckporing
Garnlav
Gräddporing
Blanksvart spiklav
Dvärgbägarlav
Grå blåbärsfältmätare
Mörk kolflarnlav
Talltagel
Talltita
Vedflamlav
Vedskivlav
Vitplätt
Älg
Tjäder
Vanlig groda
Revlummer</t>
        </is>
      </c>
      <c r="W22">
        <f>HYPERLINK("https://klasma.github.io/Logging_FORSKNINGSRESAN_2026_ARJEPLOG/artfynd/Bremudden avvanm artfynd.xlsx", "Bremudden avvanm")</f>
        <v/>
      </c>
      <c r="X22">
        <f>HYPERLINK("https://klasma.github.io/Logging_FORSKNINGSRESAN_2026_ARJEPLOG/kartor/Bremudden avvanm karta.png", "Bremudden avvanm")</f>
        <v/>
      </c>
      <c r="Y22">
        <f>HYPERLINK("https://klasma.github.io/Logging_FORSKNINGSRESAN_2026_ARJEPLOG/kartor_geotiff/Bremudden avvanm georefererad karta.tif", "Bremudden avvanm")</f>
        <v/>
      </c>
      <c r="AA22">
        <f>HYPERLINK("https://klasma.github.io/Logging_FORSKNINGSRESAN_2026_ARJEPLOG/klagomål/Bremudden avvanm FSC-klagomål.docx", "Bremudden avvanm")</f>
        <v/>
      </c>
      <c r="AB22">
        <f>HYPERLINK("https://klasma.github.io/Logging_FORSKNINGSRESAN_2026_ARJEPLOG/klagomålsmail/Bremudden avvanm FSC-klagomål mail.docx", "Bremudden avvanm")</f>
        <v/>
      </c>
      <c r="AC22">
        <f>HYPERLINK("https://klasma.github.io/Logging_FORSKNINGSRESAN_2026_ARJEPLOG/tillsyn/Bremudden avvanm tillsynsbegäran.docx", "Bremudden avvanm")</f>
        <v/>
      </c>
      <c r="AD22">
        <f>HYPERLINK("https://klasma.github.io/Logging_FORSKNINGSRESAN_2026_ARJEPLOG/tillsynsmail/Bremudden avvanm tillsynsbegäran mail.docx", "Bremudden avvanm")</f>
        <v/>
      </c>
      <c r="AE22">
        <f>HYPERLINK("https://klasma.github.io/Logging_FORSKNINGSRESAN_2026_ARJEPLOG/fåglar/Bremudden avvanm prioriterade fågelarter.docx", "Bremudden avvanm")</f>
        <v/>
      </c>
      <c r="AF22" t="inlineStr">
        <is>
          <t>avvanm</t>
        </is>
      </c>
      <c r="AG22" t="n">
        <v/>
      </c>
      <c r="AH22" t="inlineStr">
        <is>
          <t>Privat</t>
        </is>
      </c>
      <c r="AI22" t="inlineStr">
        <is>
          <t>Tis: Gr 1 (prio 2)</t>
        </is>
      </c>
      <c r="AJ22" t="inlineStr">
        <is>
          <t>A 24892-2026</t>
        </is>
      </c>
    </row>
    <row r="23" ht="15" customHeight="1">
      <c r="A23" t="inlineStr">
        <is>
          <t>S om Kvarntjärnen</t>
        </is>
      </c>
      <c r="B23" t="inlineStr">
        <is>
          <t>inventeringsområde</t>
        </is>
      </c>
      <c r="D23" s="1" t="n">
        <v>46223</v>
      </c>
      <c r="E23" s="1" t="n">
        <v>46227</v>
      </c>
      <c r="F23" t="inlineStr">
        <is>
          <t>Norrbottens län</t>
        </is>
      </c>
      <c r="G23" t="inlineStr">
        <is>
          <t>Arjeplog</t>
        </is>
      </c>
      <c r="H23" t="inlineStr">
        <is>
          <t>Sveaskog</t>
        </is>
      </c>
      <c r="I23" t="n">
        <v>27.7</v>
      </c>
      <c r="J23" t="n">
        <v>4</v>
      </c>
      <c r="K23" t="n">
        <v>3</v>
      </c>
      <c r="L23" t="n">
        <v>9</v>
      </c>
      <c r="M23" t="n">
        <v>2</v>
      </c>
      <c r="N23" t="n">
        <v>1</v>
      </c>
      <c r="O23" t="n">
        <v>0</v>
      </c>
      <c r="P23" t="n">
        <v>0</v>
      </c>
      <c r="Q23" t="n">
        <v>12</v>
      </c>
      <c r="R23" t="n">
        <v>3</v>
      </c>
      <c r="S23" t="n">
        <v>15</v>
      </c>
      <c r="T23" t="n">
        <v>82</v>
      </c>
      <c r="U23" t="n">
        <v>82</v>
      </c>
      <c r="V23" s="2" t="inlineStr">
        <is>
          <t>Lusporing
Garnlav
Gräddporing
Blanksvart spiklav
Dropptaggsvamp
Dvärgbägarlav
Lavskrika
Nordtagging
Talltagel
Talltita
Tretåig hackspett
Vedskivlav
Norrlandslav
Plattlummer
Vedticka</t>
        </is>
      </c>
      <c r="W23">
        <f>HYPERLINK("https://klasma.github.io/Logging_FORSKNINGSRESAN_2026_ARJEPLOG/artfynd/S om Kvarntjärnen artfynd.xlsx", "S om Kvarntjärnen")</f>
        <v/>
      </c>
      <c r="X23">
        <f>HYPERLINK("https://klasma.github.io/Logging_FORSKNINGSRESAN_2026_ARJEPLOG/kartor/S om Kvarntjärnen karta.png", "S om Kvarntjärnen")</f>
        <v/>
      </c>
      <c r="Y23">
        <f>HYPERLINK("https://klasma.github.io/Logging_FORSKNINGSRESAN_2026_ARJEPLOG/kartor_geotiff/S om Kvarntjärnen georefererad karta.tif", "S om Kvarntjärnen")</f>
        <v/>
      </c>
      <c r="AA23">
        <f>HYPERLINK("https://klasma.github.io/Logging_FORSKNINGSRESAN_2026_ARJEPLOG/klagomål/S om Kvarntjärnen FSC-klagomål.docx", "S om Kvarntjärnen")</f>
        <v/>
      </c>
      <c r="AB23">
        <f>HYPERLINK("https://klasma.github.io/Logging_FORSKNINGSRESAN_2026_ARJEPLOG/klagomålsmail/S om Kvarntjärnen FSC-klagomål mail.docx", "S om Kvarntjärnen")</f>
        <v/>
      </c>
      <c r="AC23">
        <f>HYPERLINK("https://klasma.github.io/Logging_FORSKNINGSRESAN_2026_ARJEPLOG/tillsyn/S om Kvarntjärnen tillsynsbegäran.docx", "S om Kvarntjärnen")</f>
        <v/>
      </c>
      <c r="AD23">
        <f>HYPERLINK("https://klasma.github.io/Logging_FORSKNINGSRESAN_2026_ARJEPLOG/tillsynsmail/S om Kvarntjärnen tillsynsbegäran mail.docx", "S om Kvarntjärnen")</f>
        <v/>
      </c>
      <c r="AE23">
        <f>HYPERLINK("https://klasma.github.io/Logging_FORSKNINGSRESAN_2026_ARJEPLOG/fåglar/S om Kvarntjärnen prioriterade fågelarter.docx", "S om Kvarntjärnen")</f>
        <v/>
      </c>
      <c r="AF23" t="inlineStr">
        <is>
          <t>Ser bra ut från vägen, bom öppen.</t>
        </is>
      </c>
      <c r="AG23" t="n">
        <v>10</v>
      </c>
      <c r="AH23" t="inlineStr">
        <is>
          <t>Sveaskog</t>
        </is>
      </c>
      <c r="AI23" t="inlineStr">
        <is>
          <t>Tis: Gr 2 (prio 3)</t>
        </is>
      </c>
      <c r="AJ23" t="n">
        <v/>
      </c>
    </row>
    <row r="24" ht="15" customHeight="1">
      <c r="A24" t="inlineStr">
        <is>
          <t>Iksjak-Råssnesudden</t>
        </is>
      </c>
      <c r="B24" t="inlineStr">
        <is>
          <t>inventeringsområde</t>
        </is>
      </c>
      <c r="D24" s="1" t="n">
        <v>46223</v>
      </c>
      <c r="E24" s="1" t="n">
        <v>46227</v>
      </c>
      <c r="F24" t="inlineStr">
        <is>
          <t>Norrbottens län</t>
        </is>
      </c>
      <c r="G24" t="inlineStr">
        <is>
          <t>Arjeplog</t>
        </is>
      </c>
      <c r="H24" t="inlineStr">
        <is>
          <t>Övriga statliga verk och myndigheter</t>
        </is>
      </c>
      <c r="I24" t="n">
        <v>676.5</v>
      </c>
      <c r="J24" t="n">
        <v>1</v>
      </c>
      <c r="K24" t="n">
        <v>2</v>
      </c>
      <c r="L24" t="n">
        <v>7</v>
      </c>
      <c r="M24" t="n">
        <v>2</v>
      </c>
      <c r="N24" t="n">
        <v>0</v>
      </c>
      <c r="O24" t="n">
        <v>0</v>
      </c>
      <c r="P24" t="n">
        <v>0</v>
      </c>
      <c r="Q24" t="n">
        <v>9</v>
      </c>
      <c r="R24" t="n">
        <v>2</v>
      </c>
      <c r="S24" t="n">
        <v>12</v>
      </c>
      <c r="T24" t="n">
        <v>28</v>
      </c>
      <c r="U24" t="n">
        <v>14</v>
      </c>
      <c r="V24" s="2" t="inlineStr">
        <is>
          <t>Fläckporing
Gräddporing
Blanksvart spiklav
Dropptaggsvamp
Dvärgbägarlav
Knottrig blåslav
Talltita
Vedflamlav
Vitplätt
Stuplav
Ögonpyrola
Grå renlav</t>
        </is>
      </c>
      <c r="W24">
        <f>HYPERLINK("https://klasma.github.io/Logging_FORSKNINGSRESAN_2026_ARJEPLOG/artfynd/Iksjak-Råssnesudden artfynd.xlsx", "Iksjak-Råssnesudden")</f>
        <v/>
      </c>
      <c r="X24">
        <f>HYPERLINK("https://klasma.github.io/Logging_FORSKNINGSRESAN_2026_ARJEPLOG/kartor/Iksjak-Råssnesudden karta.png", "Iksjak-Råssnesudden")</f>
        <v/>
      </c>
      <c r="Y24">
        <f>HYPERLINK("https://klasma.github.io/Logging_FORSKNINGSRESAN_2026_ARJEPLOG/kartor_geotiff/Iksjak-Råssnesudden georefererad karta.tif", "Iksjak-Råssnesudden")</f>
        <v/>
      </c>
      <c r="AA24">
        <f>HYPERLINK("https://klasma.github.io/Logging_FORSKNINGSRESAN_2026_ARJEPLOG/klagomål/Iksjak-Råssnesudden FSC-klagomål.docx", "Iksjak-Råssnesudden")</f>
        <v/>
      </c>
      <c r="AB24">
        <f>HYPERLINK("https://klasma.github.io/Logging_FORSKNINGSRESAN_2026_ARJEPLOG/klagomålsmail/Iksjak-Råssnesudden FSC-klagomål mail.docx", "Iksjak-Råssnesudden")</f>
        <v/>
      </c>
      <c r="AC24">
        <f>HYPERLINK("https://klasma.github.io/Logging_FORSKNINGSRESAN_2026_ARJEPLOG/tillsyn/Iksjak-Råssnesudden tillsynsbegäran.docx", "Iksjak-Råssnesudden")</f>
        <v/>
      </c>
      <c r="AD24">
        <f>HYPERLINK("https://klasma.github.io/Logging_FORSKNINGSRESAN_2026_ARJEPLOG/tillsynsmail/Iksjak-Råssnesudden tillsynsbegäran mail.docx", "Iksjak-Råssnesudden")</f>
        <v/>
      </c>
      <c r="AE24">
        <f>HYPERLINK("https://klasma.github.io/Logging_FORSKNINGSRESAN_2026_ARJEPLOG/fåglar/Iksjak-Råssnesudden prioriterade fågelarter.docx", "Iksjak-Råssnesudden")</f>
        <v/>
      </c>
      <c r="AF24" t="inlineStr">
        <is>
          <t>Obruten skog. 80-90 % genomgallrat. Finast längst kanterna. Finns stor parkering vid vägen.</t>
        </is>
      </c>
      <c r="AG24" t="n">
        <v>1</v>
      </c>
      <c r="AH24" t="inlineStr">
        <is>
          <t>Övriga statliga verk och myndigheter</t>
        </is>
      </c>
      <c r="AI24" t="n">
        <v/>
      </c>
      <c r="AJ24" t="n">
        <v/>
      </c>
    </row>
    <row r="25" ht="15" customHeight="1">
      <c r="A25" t="inlineStr">
        <is>
          <t>Maskaure Maddagielas S, 27 ha</t>
        </is>
      </c>
      <c r="B25" t="inlineStr">
        <is>
          <t>inventeringsområde</t>
        </is>
      </c>
      <c r="D25" s="1" t="n">
        <v>46223</v>
      </c>
      <c r="E25" s="1" t="n">
        <v>46227</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2026-07-24T13:46:13Z</dcterms:created>
  <dcterms:modified xmlns:dcterms="http://purl.org/dc/terms/" xmlns:xsi="http://www.w3.org/2001/XMLSchema-instance" xsi:type="dcterms:W3CDTF">2026-07-24T13:46:14Z</dcterms:modified>
</cp:coreProperties>
</file>