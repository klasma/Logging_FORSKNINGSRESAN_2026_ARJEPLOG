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11</v>
      </c>
      <c r="K2" t="n">
        <v>14</v>
      </c>
      <c r="L2" t="n">
        <v>28</v>
      </c>
      <c r="M2" t="n">
        <v>14</v>
      </c>
      <c r="N2" t="n">
        <v>0</v>
      </c>
      <c r="O2" t="n">
        <v>0</v>
      </c>
      <c r="P2" t="n">
        <v>0</v>
      </c>
      <c r="Q2" t="n">
        <v>42</v>
      </c>
      <c r="R2" t="n">
        <v>14</v>
      </c>
      <c r="S2" t="n">
        <v>71</v>
      </c>
      <c r="T2" t="n">
        <v>389</v>
      </c>
      <c r="U2" t="n">
        <v>389</v>
      </c>
      <c r="V2" s="2" t="inlineStr">
        <is>
          <t>Garnlav
Grantickeporing
Grenlav
Gränsticka
Kilporing
Kristallticka
Lappticka
Lecidea subhumida
Nordlig parasitporing
Ostticka
Smalskaftslav
Sprickporing
Tajgaskinn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Finbräken
Grönkulla
Gulnål
Korallrot
Källpraktmossa
Luddlav
Rostfläck
Spindelblomster
Stuplav
Tibast
Vedticka
Ögonpyrola
Bergsslok
Brudborste
Ekbräken
Humleblomster
Kransmossa
Kärrfibbla
Lundarv
Nordisk stormhatt
Ormbär
Spillkråka
Tjäder
Torta
Vanlig groda
Brudsporre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46227</v>
      </c>
      <c r="F3" t="inlineStr">
        <is>
          <t>Norrbottens län</t>
        </is>
      </c>
      <c r="G3" t="inlineStr">
        <is>
          <t>Arjeplog</t>
        </is>
      </c>
      <c r="H3" t="inlineStr">
        <is>
          <t>Övriga statliga verk och myndigheter</t>
        </is>
      </c>
      <c r="I3" t="n">
        <v>676.5</v>
      </c>
      <c r="J3" t="n">
        <v>10</v>
      </c>
      <c r="K3" t="n">
        <v>11</v>
      </c>
      <c r="L3" t="n">
        <v>30</v>
      </c>
      <c r="M3" t="n">
        <v>7</v>
      </c>
      <c r="N3" t="n">
        <v>0</v>
      </c>
      <c r="O3" t="n">
        <v>0</v>
      </c>
      <c r="P3" t="n">
        <v>0</v>
      </c>
      <c r="Q3" t="n">
        <v>37</v>
      </c>
      <c r="R3" t="n">
        <v>7</v>
      </c>
      <c r="S3" t="n">
        <v>57</v>
      </c>
      <c r="T3" t="n">
        <v>340</v>
      </c>
      <c r="U3" t="n">
        <v>326</v>
      </c>
      <c r="V3" s="2" t="inlineStr">
        <is>
          <t>Doftticka
Fläckporing
Garnlav
Gräddporing
Knärot
Lecidea subhumida
Smalfotad taggsvamp
Blanksvart spiklav
Blågrå svartspik
Brunpudrad nållav
Dropptaggsvamp
Dvärgbägarlav
Gullmurkling
Harticka
Knottrig blåslav
Kolflarnlav
Kortskaftad ärgspik
Lavskrika
Liten svartspik
Lunglav
Mörk kolflarnlav
Nordtagging
Rosenticka
Rutspindling
Skrovellav
Talltagel
Talltaggsvamp
Talltita
Tretåig hackspett
Ullticka
Vaddporing
Vedflamlav
Vedskivlav
Vedtrappmossa
Violettgrå tagellav
Vitgrynig nållav
Vitplätt
Bårdlav
Dvärgtufs
Korallrot
Källpraktmossa
Luddlav
Norrlandslav
Plattlummer
Skinnlav
Spindelblomster
Stuplav
Ögonpyrola
Bergsslok
Brudborste
Ekbräken
Grå renlav
Hultbräken
Nordisk stormhatt
Tjäder
Torta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46227</v>
      </c>
      <c r="F4" t="inlineStr">
        <is>
          <t>Norrbottens län</t>
        </is>
      </c>
      <c r="G4" t="inlineStr">
        <is>
          <t>Arjeplog</t>
        </is>
      </c>
      <c r="H4" t="inlineStr">
        <is>
          <t>Övriga statliga verk och myndigheter</t>
        </is>
      </c>
      <c r="I4" t="n">
        <v>119.1</v>
      </c>
      <c r="J4" t="n">
        <v>13</v>
      </c>
      <c r="K4" t="n">
        <v>11</v>
      </c>
      <c r="L4" t="n">
        <v>19</v>
      </c>
      <c r="M4" t="n">
        <v>9</v>
      </c>
      <c r="N4" t="n">
        <v>0</v>
      </c>
      <c r="O4" t="n">
        <v>0</v>
      </c>
      <c r="P4" t="n">
        <v>0</v>
      </c>
      <c r="Q4" t="n">
        <v>28</v>
      </c>
      <c r="R4" t="n">
        <v>9</v>
      </c>
      <c r="S4" t="n">
        <v>52</v>
      </c>
      <c r="T4" t="n">
        <v>430</v>
      </c>
      <c r="U4" t="n">
        <v>394</v>
      </c>
      <c r="V4"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Skeletocutis exilis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46227</v>
      </c>
      <c r="F5" t="inlineStr">
        <is>
          <t>Norrbottens län</t>
        </is>
      </c>
      <c r="G5" t="inlineStr">
        <is>
          <t>Arjeplog</t>
        </is>
      </c>
      <c r="I5" t="n">
        <v>113.6</v>
      </c>
      <c r="J5" t="n">
        <v>8</v>
      </c>
      <c r="K5" t="n">
        <v>14</v>
      </c>
      <c r="L5" t="n">
        <v>19</v>
      </c>
      <c r="M5" t="n">
        <v>8</v>
      </c>
      <c r="N5" t="n">
        <v>0</v>
      </c>
      <c r="O5" t="n">
        <v>0</v>
      </c>
      <c r="P5" t="n">
        <v>0</v>
      </c>
      <c r="Q5" t="n">
        <v>27</v>
      </c>
      <c r="R5" t="n">
        <v>8</v>
      </c>
      <c r="S5" t="n">
        <v>51</v>
      </c>
      <c r="T5" t="n">
        <v>305</v>
      </c>
      <c r="U5" t="n">
        <v>293</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46227</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46227</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46227</v>
      </c>
      <c r="F8" t="inlineStr">
        <is>
          <t>Norrbottens län</t>
        </is>
      </c>
      <c r="G8" t="inlineStr">
        <is>
          <t>Arjeplog</t>
        </is>
      </c>
      <c r="H8" t="inlineStr">
        <is>
          <t>Sveaskog</t>
        </is>
      </c>
      <c r="I8" t="n">
        <v>68.2</v>
      </c>
      <c r="J8" t="n">
        <v>11</v>
      </c>
      <c r="K8" t="n">
        <v>11</v>
      </c>
      <c r="L8" t="n">
        <v>20</v>
      </c>
      <c r="M8" t="n">
        <v>5</v>
      </c>
      <c r="N8" t="n">
        <v>0</v>
      </c>
      <c r="O8" t="n">
        <v>0</v>
      </c>
      <c r="P8" t="n">
        <v>0</v>
      </c>
      <c r="Q8" t="n">
        <v>25</v>
      </c>
      <c r="R8" t="n">
        <v>5</v>
      </c>
      <c r="S8" t="n">
        <v>42</v>
      </c>
      <c r="T8" t="n">
        <v>202</v>
      </c>
      <c r="U8" t="n">
        <v>199</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46227</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Västra Kikkejaure korsningen Långviken avvanm</t>
        </is>
      </c>
      <c r="B13" t="inlineStr">
        <is>
          <t>inventeringsområde</t>
        </is>
      </c>
      <c r="D13" s="1" t="n">
        <v>46223</v>
      </c>
      <c r="E13" s="1" t="n">
        <v>46227</v>
      </c>
      <c r="F13" t="inlineStr">
        <is>
          <t>Norrbottens län</t>
        </is>
      </c>
      <c r="G13" t="inlineStr">
        <is>
          <t>Arjeplog</t>
        </is>
      </c>
      <c r="H13" t="inlineStr">
        <is>
          <t>Allmännings- och besparingsskogar</t>
        </is>
      </c>
      <c r="I13" t="n">
        <v>25.5</v>
      </c>
      <c r="J13" t="n">
        <v>4</v>
      </c>
      <c r="K13" t="n">
        <v>4</v>
      </c>
      <c r="L13" t="n">
        <v>20</v>
      </c>
      <c r="M13" t="n">
        <v>5</v>
      </c>
      <c r="N13" t="n">
        <v>1</v>
      </c>
      <c r="O13" t="n">
        <v>0</v>
      </c>
      <c r="P13" t="n">
        <v>0</v>
      </c>
      <c r="Q13" t="n">
        <v>26</v>
      </c>
      <c r="R13" t="n">
        <v>6</v>
      </c>
      <c r="S13" t="n">
        <v>32</v>
      </c>
      <c r="T13" t="n">
        <v>188</v>
      </c>
      <c r="U13" t="n">
        <v>188</v>
      </c>
      <c r="V13"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3">
        <f>HYPERLINK("https://klasma.github.io/Logging_FORSKNINGSRESAN_2026_ARJEPLOG/artfynd/Västra Kikkejaure korsningen Långviken avvanm artfynd.xlsx", "Västra Kikkejaure korsningen Långviken avvanm")</f>
        <v/>
      </c>
      <c r="X13">
        <f>HYPERLINK("https://klasma.github.io/Logging_FORSKNINGSRESAN_2026_ARJEPLOG/kartor/Västra Kikkejaure korsningen Långviken avvanm karta.png", "Västra Kikkejaure korsningen Långviken avvanm")</f>
        <v/>
      </c>
      <c r="Y13">
        <f>HYPERLINK("https://klasma.github.io/Logging_FORSKNINGSRESAN_2026_ARJEPLOG/kartor_geotiff/Västra Kikkejaure korsningen Långviken avvanm georefererad karta.tif", "Västra Kikkejaure korsningen Långviken avvanm")</f>
        <v/>
      </c>
      <c r="AA13">
        <f>HYPERLINK("https://klasma.github.io/Logging_FORSKNINGSRESAN_2026_ARJEPLOG/klagomål/Västra Kikkejaure korsningen Långviken avvanm FSC-klagomål.docx", "Västra Kikkejaure korsningen Långviken avvanm")</f>
        <v/>
      </c>
      <c r="AB13">
        <f>HYPERLINK("https://klasma.github.io/Logging_FORSKNINGSRESAN_2026_ARJEPLOG/klagomålsmail/Västra Kikkejaure korsningen Långviken avvanm FSC-klagomål mail.docx", "Västra Kikkejaure korsningen Långviken avvanm")</f>
        <v/>
      </c>
      <c r="AC13">
        <f>HYPERLINK("https://klasma.github.io/Logging_FORSKNINGSRESAN_2026_ARJEPLOG/tillsyn/Västra Kikkejaure korsningen Långviken avvanm tillsynsbegäran.docx", "Västra Kikkejaure korsningen Långviken avvanm")</f>
        <v/>
      </c>
      <c r="AD13">
        <f>HYPERLINK("https://klasma.github.io/Logging_FORSKNINGSRESAN_2026_ARJEPLOG/tillsynsmail/Västra Kikkejaure korsningen Långviken avvanm tillsynsbegäran mail.docx", "Västra Kikkejaure korsningen Långviken avvanm")</f>
        <v/>
      </c>
      <c r="AE13">
        <f>HYPERLINK("https://klasma.github.io/Logging_FORSKNINGSRESAN_2026_ARJEPLOG/fåglar/Västra Kikkejaure korsningen Långviken avvanm prioriterade fågelarter.docx", "Västra Kikkejaure korsningen Långviken avvanm")</f>
        <v/>
      </c>
      <c r="AF13" t="inlineStr">
        <is>
          <t>avvanm, tallnaturskog med silverved</t>
        </is>
      </c>
      <c r="AG13" t="n">
        <v>1</v>
      </c>
      <c r="AH13" t="inlineStr">
        <is>
          <t>Allmännings- och besparingsskogar</t>
        </is>
      </c>
      <c r="AI13" t="inlineStr">
        <is>
          <t>Tis: Gr 2 (prio 1)</t>
        </is>
      </c>
      <c r="AJ13" t="inlineStr">
        <is>
          <t>A 45924-2023</t>
        </is>
      </c>
    </row>
    <row r="14" ht="15" customHeight="1">
      <c r="A14" t="inlineStr">
        <is>
          <t>Bergmyrarna avvanm</t>
        </is>
      </c>
      <c r="B14" t="inlineStr">
        <is>
          <t>inventeringsområde</t>
        </is>
      </c>
      <c r="D14" s="1" t="n">
        <v>46223</v>
      </c>
      <c r="E14" s="1" t="n">
        <v>46227</v>
      </c>
      <c r="F14" t="inlineStr">
        <is>
          <t>Norrbottens län</t>
        </is>
      </c>
      <c r="G14" t="inlineStr">
        <is>
          <t>Arjeplog</t>
        </is>
      </c>
      <c r="H14" t="inlineStr">
        <is>
          <t>Allmännings- och besparingsskogar</t>
        </is>
      </c>
      <c r="I14" t="n">
        <v>17.7</v>
      </c>
      <c r="J14" t="n">
        <v>9</v>
      </c>
      <c r="K14" t="n">
        <v>8</v>
      </c>
      <c r="L14" t="n">
        <v>16</v>
      </c>
      <c r="M14" t="n">
        <v>5</v>
      </c>
      <c r="N14" t="n">
        <v>0</v>
      </c>
      <c r="O14" t="n">
        <v>0</v>
      </c>
      <c r="P14" t="n">
        <v>0</v>
      </c>
      <c r="Q14" t="n">
        <v>21</v>
      </c>
      <c r="R14" t="n">
        <v>5</v>
      </c>
      <c r="S14" t="n">
        <v>32</v>
      </c>
      <c r="T14" t="n">
        <v>252</v>
      </c>
      <c r="U14" t="n">
        <v>252</v>
      </c>
      <c r="V14"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4">
        <f>HYPERLINK("https://klasma.github.io/Logging_FORSKNINGSRESAN_2026_ARJEPLOG/artfynd/Bergmyrarna avvanm artfynd.xlsx", "Bergmyrarna avvanm")</f>
        <v/>
      </c>
      <c r="X14">
        <f>HYPERLINK("https://klasma.github.io/Logging_FORSKNINGSRESAN_2026_ARJEPLOG/kartor/Bergmyrarna avvanm karta.png", "Bergmyrarna avvanm")</f>
        <v/>
      </c>
      <c r="Y14">
        <f>HYPERLINK("https://klasma.github.io/Logging_FORSKNINGSRESAN_2026_ARJEPLOG/kartor_geotiff/Bergmyrarna avvanm georefererad karta.tif", "Bergmyrarna avvanm")</f>
        <v/>
      </c>
      <c r="AA14">
        <f>HYPERLINK("https://klasma.github.io/Logging_FORSKNINGSRESAN_2026_ARJEPLOG/klagomål/Bergmyrarna avvanm FSC-klagomål.docx", "Bergmyrarna avvanm")</f>
        <v/>
      </c>
      <c r="AB14">
        <f>HYPERLINK("https://klasma.github.io/Logging_FORSKNINGSRESAN_2026_ARJEPLOG/klagomålsmail/Bergmyrarna avvanm FSC-klagomål mail.docx", "Bergmyrarna avvanm")</f>
        <v/>
      </c>
      <c r="AC14">
        <f>HYPERLINK("https://klasma.github.io/Logging_FORSKNINGSRESAN_2026_ARJEPLOG/tillsyn/Bergmyrarna avvanm tillsynsbegäran.docx", "Bergmyrarna avvanm")</f>
        <v/>
      </c>
      <c r="AD14">
        <f>HYPERLINK("https://klasma.github.io/Logging_FORSKNINGSRESAN_2026_ARJEPLOG/tillsynsmail/Bergmyrarna avvanm tillsynsbegäran mail.docx", "Bergmyrarna avvanm")</f>
        <v/>
      </c>
      <c r="AE14">
        <f>HYPERLINK("https://klasma.github.io/Logging_FORSKNINGSRESAN_2026_ARJEPLOG/fåglar/Bergmyrarna avvanm prioriterade fågelarter.docx", "Bergmyrarna avvanm")</f>
        <v/>
      </c>
      <c r="AF14" t="inlineStr">
        <is>
          <t>155 år bevskikt, bör inventeras!!</t>
        </is>
      </c>
      <c r="AG14" t="n">
        <v>10</v>
      </c>
      <c r="AH14" t="inlineStr">
        <is>
          <t>Allmännings- och besparingsskogar</t>
        </is>
      </c>
      <c r="AI14" t="n">
        <v/>
      </c>
      <c r="AJ14" t="n">
        <v/>
      </c>
    </row>
    <row r="15" ht="15" customHeight="1">
      <c r="A15" t="inlineStr">
        <is>
          <t>Maskaure Uddnäs avvanm, 4,6 ha</t>
        </is>
      </c>
      <c r="B15" t="inlineStr">
        <is>
          <t>inventeringsområde</t>
        </is>
      </c>
      <c r="D15" s="1" t="n">
        <v>46223</v>
      </c>
      <c r="E15" s="1" t="n">
        <v>46227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2026-07-24T16:45:10Z</dcterms:created>
  <dcterms:modified xmlns:dcterms="http://purl.org/dc/terms/" xmlns:xsi="http://www.w3.org/2001/XMLSchema-instance" xsi:type="dcterms:W3CDTF">2026-07-24T16:45:10Z</dcterms:modified>
</cp:coreProperties>
</file>