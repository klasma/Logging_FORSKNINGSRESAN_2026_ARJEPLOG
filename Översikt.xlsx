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23</v>
      </c>
      <c r="M2" t="n">
        <v>11</v>
      </c>
      <c r="N2" t="n">
        <v>0</v>
      </c>
      <c r="O2" t="n">
        <v>0</v>
      </c>
      <c r="P2" t="n">
        <v>0</v>
      </c>
      <c r="Q2" t="n">
        <v>34</v>
      </c>
      <c r="R2" t="n">
        <v>11</v>
      </c>
      <c r="S2" t="n">
        <v>60</v>
      </c>
      <c r="T2" t="n">
        <v>318</v>
      </c>
      <c r="U2" t="n">
        <v>318</v>
      </c>
      <c r="V2" s="2" t="inlineStr">
        <is>
          <t>Garnlav
Grantickeporing
Grenlav
Gränsticka
Kristallticka
Lecidea subhumida
Nordlig parasitporing
Ostticka
Sprickporing
Tajgaskinn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10</v>
      </c>
      <c r="L3" t="n">
        <v>18</v>
      </c>
      <c r="M3" t="n">
        <v>7</v>
      </c>
      <c r="N3" t="n">
        <v>0</v>
      </c>
      <c r="O3" t="n">
        <v>0</v>
      </c>
      <c r="P3" t="n">
        <v>0</v>
      </c>
      <c r="Q3" t="n">
        <v>25</v>
      </c>
      <c r="R3" t="n">
        <v>7</v>
      </c>
      <c r="S3" t="n">
        <v>48</v>
      </c>
      <c r="T3" t="n">
        <v>359</v>
      </c>
      <c r="U3" t="n">
        <v>323</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7</v>
      </c>
      <c r="K4" t="n">
        <v>12</v>
      </c>
      <c r="L4" t="n">
        <v>19</v>
      </c>
      <c r="M4" t="n">
        <v>8</v>
      </c>
      <c r="N4" t="n">
        <v>1</v>
      </c>
      <c r="O4" t="n">
        <v>0</v>
      </c>
      <c r="P4" t="n">
        <v>0</v>
      </c>
      <c r="Q4" t="n">
        <v>28</v>
      </c>
      <c r="R4" t="n">
        <v>9</v>
      </c>
      <c r="S4" t="n">
        <v>48</v>
      </c>
      <c r="T4" t="n">
        <v>251</v>
      </c>
      <c r="U4" t="n">
        <v>239</v>
      </c>
      <c r="V4"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Norrlandslav
Skinnlav
Spindelblomster
Stuplav
Tibast
Trådticka
Vedticka
Ögonpyrola
Ekbräken
Hultbräken
Humleblomster
Kransmossa
Nordisk stormhatt
Torta
Fläcknycklar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4</v>
      </c>
      <c r="N7" t="n">
        <v>0</v>
      </c>
      <c r="O7" t="n">
        <v>0</v>
      </c>
      <c r="P7" t="n">
        <v>0</v>
      </c>
      <c r="Q7" t="n">
        <v>24</v>
      </c>
      <c r="R7" t="n">
        <v>4</v>
      </c>
      <c r="S7" t="n">
        <v>41</v>
      </c>
      <c r="T7" t="n">
        <v>191</v>
      </c>
      <c r="U7" t="n">
        <v>188</v>
      </c>
      <c r="V7"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7</v>
      </c>
      <c r="N11" t="n">
        <v>0</v>
      </c>
      <c r="O11" t="n">
        <v>0</v>
      </c>
      <c r="P11" t="n">
        <v>0</v>
      </c>
      <c r="Q11" t="n">
        <v>23</v>
      </c>
      <c r="R11" t="n">
        <v>7</v>
      </c>
      <c r="S11" t="n">
        <v>28</v>
      </c>
      <c r="T11" t="n">
        <v>125</v>
      </c>
      <c r="U11" t="n">
        <v>125</v>
      </c>
      <c r="V11"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Maskaure Renskötartjärnen, 8,3 ha</t>
        </is>
      </c>
      <c r="B15" t="inlineStr">
        <is>
          <t>inventeringsområde</t>
        </is>
      </c>
      <c r="D15" s="1" t="n">
        <v>46223</v>
      </c>
      <c r="E15" s="1" t="n">
        <v>46226</v>
      </c>
      <c r="F15" t="inlineStr">
        <is>
          <t>Norrbottens län</t>
        </is>
      </c>
      <c r="G15" t="inlineStr">
        <is>
          <t>Arjeplog</t>
        </is>
      </c>
      <c r="H15" t="inlineStr">
        <is>
          <t>Sveaskog</t>
        </is>
      </c>
      <c r="I15" t="n">
        <v>8.300000000000001</v>
      </c>
      <c r="J15" t="n">
        <v>2</v>
      </c>
      <c r="K15" t="n">
        <v>2</v>
      </c>
      <c r="L15" t="n">
        <v>12</v>
      </c>
      <c r="M15" t="n">
        <v>8</v>
      </c>
      <c r="N15" t="n">
        <v>0</v>
      </c>
      <c r="O15" t="n">
        <v>1</v>
      </c>
      <c r="P15" t="n">
        <v>0</v>
      </c>
      <c r="Q15" t="n">
        <v>21</v>
      </c>
      <c r="R15" t="n">
        <v>9</v>
      </c>
      <c r="S15" t="n">
        <v>24</v>
      </c>
      <c r="T15" t="n">
        <v>80</v>
      </c>
      <c r="U15" t="n">
        <v>48</v>
      </c>
      <c r="V15"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5">
        <f>HYPERLINK("https://klasma.github.io/Logging_FORSKNINGSRESAN_2026_ARJEPLOG/artfynd/Maskaure Renskötartjärnen, 8,3 ha artfynd.xlsx", "Maskaure Renskötartjärnen, 8,3 ha")</f>
        <v/>
      </c>
      <c r="X15">
        <f>HYPERLINK("https://klasma.github.io/Logging_FORSKNINGSRESAN_2026_ARJEPLOG/kartor/Maskaure Renskötartjärnen, 8,3 ha karta.png", "Maskaure Renskötartjärnen, 8,3 ha")</f>
        <v/>
      </c>
      <c r="Y15">
        <f>HYPERLINK("https://klasma.github.io/Logging_FORSKNINGSRESAN_2026_ARJEPLOG/kartor_geotiff/Maskaure Renskötartjärnen, 8,3 ha georefererad karta.tif", "Maskaure Renskötartjärnen, 8,3 ha")</f>
        <v/>
      </c>
      <c r="AA15">
        <f>HYPERLINK("https://klasma.github.io/Logging_FORSKNINGSRESAN_2026_ARJEPLOG/klagomål/Maskaure Renskötartjärnen, 8,3 ha FSC-klagomål.docx", "Maskaure Renskötartjärnen, 8,3 ha")</f>
        <v/>
      </c>
      <c r="AB15">
        <f>HYPERLINK("https://klasma.github.io/Logging_FORSKNINGSRESAN_2026_ARJEPLOG/klagomålsmail/Maskaure Renskötartjärnen, 8,3 ha FSC-klagomål mail.docx", "Maskaure Renskötartjärnen, 8,3 ha")</f>
        <v/>
      </c>
      <c r="AC15">
        <f>HYPERLINK("https://klasma.github.io/Logging_FORSKNINGSRESAN_2026_ARJEPLOG/tillsyn/Maskaure Renskötartjärnen, 8,3 ha tillsynsbegäran.docx", "Maskaure Renskötartjärnen, 8,3 ha")</f>
        <v/>
      </c>
      <c r="AD15">
        <f>HYPERLINK("https://klasma.github.io/Logging_FORSKNINGSRESAN_2026_ARJEPLOG/tillsynsmail/Maskaure Renskötartjärnen, 8,3 ha tillsynsbegäran mail.docx", "Maskaure Renskötartjärnen, 8,3 ha")</f>
        <v/>
      </c>
      <c r="AF15" t="inlineStr">
        <is>
          <t>k-skog, ej rekad</t>
        </is>
      </c>
      <c r="AG15" t="n">
        <v>1</v>
      </c>
      <c r="AH15" t="inlineStr">
        <is>
          <t>Sveaskog</t>
        </is>
      </c>
      <c r="AI15" t="inlineStr">
        <is>
          <t>Ons: Gr 3</t>
        </is>
      </c>
      <c r="AJ15" t="n">
        <v/>
      </c>
    </row>
    <row r="16" ht="15" customHeight="1">
      <c r="A16" t="inlineStr">
        <is>
          <t>Njuöniesvárrie NV avvanm</t>
        </is>
      </c>
      <c r="B16" t="inlineStr">
        <is>
          <t>inventeringsområde</t>
        </is>
      </c>
      <c r="D16" s="1" t="n">
        <v>46223</v>
      </c>
      <c r="E16" s="1" t="n">
        <v>46226</v>
      </c>
      <c r="F16" t="inlineStr">
        <is>
          <t>Norrbottens län</t>
        </is>
      </c>
      <c r="G16" t="inlineStr">
        <is>
          <t>Arjeplog</t>
        </is>
      </c>
      <c r="H16" t="inlineStr">
        <is>
          <t>Allmännings- och besparingsskogar</t>
        </is>
      </c>
      <c r="I16" t="n">
        <v>39.8</v>
      </c>
      <c r="J16" t="n">
        <v>4</v>
      </c>
      <c r="K16" t="n">
        <v>3</v>
      </c>
      <c r="L16" t="n">
        <v>13</v>
      </c>
      <c r="M16" t="n">
        <v>5</v>
      </c>
      <c r="N16" t="n">
        <v>1</v>
      </c>
      <c r="O16" t="n">
        <v>0</v>
      </c>
      <c r="P16" t="n">
        <v>0</v>
      </c>
      <c r="Q16" t="n">
        <v>19</v>
      </c>
      <c r="R16" t="n">
        <v>6</v>
      </c>
      <c r="S16" t="n">
        <v>23</v>
      </c>
      <c r="T16" t="n">
        <v>73</v>
      </c>
      <c r="U16" t="n">
        <v>73</v>
      </c>
      <c r="V1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6">
        <f>HYPERLINK("https://klasma.github.io/Logging_FORSKNINGSRESAN_2026_ARJEPLOG/artfynd/Njuöniesvárrie NV avvanm artfynd.xlsx", "Njuöniesvárrie NV avvanm")</f>
        <v/>
      </c>
      <c r="X16">
        <f>HYPERLINK("https://klasma.github.io/Logging_FORSKNINGSRESAN_2026_ARJEPLOG/kartor/Njuöniesvárrie NV avvanm karta.png", "Njuöniesvárrie NV avvanm")</f>
        <v/>
      </c>
      <c r="Y16">
        <f>HYPERLINK("https://klasma.github.io/Logging_FORSKNINGSRESAN_2026_ARJEPLOG/kartor_geotiff/Njuöniesvárrie NV avvanm georefererad karta.tif", "Njuöniesvárrie NV avvanm")</f>
        <v/>
      </c>
      <c r="Z16">
        <f>HYPERLINK("https://klasma.github.io/Logging_FORSKNINGSRESAN_2026_ARJEPLOG/knärot/Njuöniesvárrie NV avvanm karta knärot.png", "Njuöniesvárrie NV avvanm")</f>
        <v/>
      </c>
      <c r="AA16">
        <f>HYPERLINK("https://klasma.github.io/Logging_FORSKNINGSRESAN_2026_ARJEPLOG/klagomål/Njuöniesvárrie NV avvanm FSC-klagomål.docx", "Njuöniesvárrie NV avvanm")</f>
        <v/>
      </c>
      <c r="AB16">
        <f>HYPERLINK("https://klasma.github.io/Logging_FORSKNINGSRESAN_2026_ARJEPLOG/klagomålsmail/Njuöniesvárrie NV avvanm FSC-klagomål mail.docx", "Njuöniesvárrie NV avvanm")</f>
        <v/>
      </c>
      <c r="AC16">
        <f>HYPERLINK("https://klasma.github.io/Logging_FORSKNINGSRESAN_2026_ARJEPLOG/tillsyn/Njuöniesvárrie NV avvanm tillsynsbegäran.docx", "Njuöniesvárrie NV avvanm")</f>
        <v/>
      </c>
      <c r="AD16">
        <f>HYPERLINK("https://klasma.github.io/Logging_FORSKNINGSRESAN_2026_ARJEPLOG/tillsynsmail/Njuöniesvárrie NV avvanm tillsynsbegäran mail.docx", "Njuöniesvárrie NV avvanm")</f>
        <v/>
      </c>
      <c r="AE16">
        <f>HYPERLINK("https://klasma.github.io/Logging_FORSKNINGSRESAN_2026_ARJEPLOG/fåglar/Njuöniesvárrie NV avvanm prioriterade fågelarter.docx", "Njuöniesvárrie NV avvanm")</f>
        <v/>
      </c>
      <c r="AF16" t="inlineStr">
        <is>
          <t>Barrblandskog, eventuellt bom!! avvanm</t>
        </is>
      </c>
      <c r="AG16" t="n">
        <v>1</v>
      </c>
      <c r="AH16" t="inlineStr">
        <is>
          <t>Allmännings- och besparingsskogar</t>
        </is>
      </c>
      <c r="AI16" t="n">
        <v/>
      </c>
      <c r="AJ16" t="n">
        <v/>
      </c>
    </row>
    <row r="17" ht="15" customHeight="1">
      <c r="A17" t="inlineStr">
        <is>
          <t>Maskaure Långmyran SV, 6,8 ha</t>
        </is>
      </c>
      <c r="B17" t="inlineStr">
        <is>
          <t>inventeringsområde</t>
        </is>
      </c>
      <c r="D17" s="1" t="n">
        <v>46223</v>
      </c>
      <c r="E17" s="1" t="n">
        <v>46226</v>
      </c>
      <c r="F17" t="inlineStr">
        <is>
          <t>Norrbottens län</t>
        </is>
      </c>
      <c r="G17" t="inlineStr">
        <is>
          <t>Arjeplog</t>
        </is>
      </c>
      <c r="H17" t="inlineStr">
        <is>
          <t>Sveaskog</t>
        </is>
      </c>
      <c r="I17" t="n">
        <v>6.9</v>
      </c>
      <c r="J17" t="n">
        <v>2</v>
      </c>
      <c r="K17" t="n">
        <v>1</v>
      </c>
      <c r="L17" t="n">
        <v>15</v>
      </c>
      <c r="M17" t="n">
        <v>4</v>
      </c>
      <c r="N17" t="n">
        <v>0</v>
      </c>
      <c r="O17" t="n">
        <v>0</v>
      </c>
      <c r="P17" t="n">
        <v>0</v>
      </c>
      <c r="Q17" t="n">
        <v>19</v>
      </c>
      <c r="R17" t="n">
        <v>4</v>
      </c>
      <c r="S17" t="n">
        <v>22</v>
      </c>
      <c r="T17" t="n">
        <v>57</v>
      </c>
      <c r="U17" t="n">
        <v>49</v>
      </c>
      <c r="V17"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7">
        <f>HYPERLINK("https://klasma.github.io/Logging_FORSKNINGSRESAN_2026_ARJEPLOG/artfynd/Maskaure Långmyran SV, 6,8 ha artfynd.xlsx", "Maskaure Långmyran SV, 6,8 ha")</f>
        <v/>
      </c>
      <c r="X17">
        <f>HYPERLINK("https://klasma.github.io/Logging_FORSKNINGSRESAN_2026_ARJEPLOG/kartor/Maskaure Långmyran SV, 6,8 ha karta.png", "Maskaure Långmyran SV, 6,8 ha")</f>
        <v/>
      </c>
      <c r="Y17">
        <f>HYPERLINK("https://klasma.github.io/Logging_FORSKNINGSRESAN_2026_ARJEPLOG/kartor_geotiff/Maskaure Långmyran SV, 6,8 ha georefererad karta.tif", "Maskaure Långmyran SV, 6,8 ha")</f>
        <v/>
      </c>
      <c r="AA17">
        <f>HYPERLINK("https://klasma.github.io/Logging_FORSKNINGSRESAN_2026_ARJEPLOG/klagomål/Maskaure Långmyran SV, 6,8 ha FSC-klagomål.docx", "Maskaure Långmyran SV, 6,8 ha")</f>
        <v/>
      </c>
      <c r="AB17">
        <f>HYPERLINK("https://klasma.github.io/Logging_FORSKNINGSRESAN_2026_ARJEPLOG/klagomålsmail/Maskaure Långmyran SV, 6,8 ha FSC-klagomål mail.docx", "Maskaure Långmyran SV, 6,8 ha")</f>
        <v/>
      </c>
      <c r="AC17">
        <f>HYPERLINK("https://klasma.github.io/Logging_FORSKNINGSRESAN_2026_ARJEPLOG/tillsyn/Maskaure Långmyran SV, 6,8 ha tillsynsbegäran.docx", "Maskaure Långmyran SV, 6,8 ha")</f>
        <v/>
      </c>
      <c r="AD17">
        <f>HYPERLINK("https://klasma.github.io/Logging_FORSKNINGSRESAN_2026_ARJEPLOG/tillsynsmail/Maskaure Långmyran SV, 6,8 ha tillsynsbegäran mail.docx", "Maskaure Långmyran SV, 6,8 ha")</f>
        <v/>
      </c>
      <c r="AE17">
        <f>HYPERLINK("https://klasma.github.io/Logging_FORSKNINGSRESAN_2026_ARJEPLOG/fåglar/Maskaure Långmyran SV, 6,8 ha prioriterade fågelarter.docx", "Maskaure Långmyran SV, 6,8 ha")</f>
        <v/>
      </c>
      <c r="AF17" t="n">
        <v/>
      </c>
      <c r="AG17" t="n">
        <v>1</v>
      </c>
      <c r="AH17" t="inlineStr">
        <is>
          <t>Sveaskog</t>
        </is>
      </c>
      <c r="AI17" t="inlineStr">
        <is>
          <t>Ons: Gr 3</t>
        </is>
      </c>
      <c r="AJ17" t="n">
        <v/>
      </c>
    </row>
    <row r="18" ht="15" customHeight="1">
      <c r="A18" t="inlineStr">
        <is>
          <t>Maskaure Mullholm avvanm, 39,6 ha</t>
        </is>
      </c>
      <c r="B18" t="inlineStr">
        <is>
          <t>inventeringsområde</t>
        </is>
      </c>
      <c r="D18" s="1" t="n">
        <v>46223</v>
      </c>
      <c r="E18" s="1" t="n">
        <v>46226</v>
      </c>
      <c r="F18" t="inlineStr">
        <is>
          <t>Norrbottens län</t>
        </is>
      </c>
      <c r="G18" t="inlineStr">
        <is>
          <t>Arjeplog</t>
        </is>
      </c>
      <c r="I18" t="n">
        <v>39.6</v>
      </c>
      <c r="J18" t="n">
        <v>9</v>
      </c>
      <c r="K18" t="n">
        <v>2</v>
      </c>
      <c r="L18" t="n">
        <v>14</v>
      </c>
      <c r="M18" t="n">
        <v>1</v>
      </c>
      <c r="N18" t="n">
        <v>0</v>
      </c>
      <c r="O18" t="n">
        <v>0</v>
      </c>
      <c r="P18" t="n">
        <v>0</v>
      </c>
      <c r="Q18" t="n">
        <v>15</v>
      </c>
      <c r="R18" t="n">
        <v>1</v>
      </c>
      <c r="S18" t="n">
        <v>20</v>
      </c>
      <c r="T18" t="n">
        <v>66</v>
      </c>
      <c r="U18" t="n">
        <v>50</v>
      </c>
      <c r="V18" s="2" t="inlineStr">
        <is>
          <t>Fläckporing
Blanksvart spiklav
Drillsnäppa
Dropptaggsvamp
Duvhök
Dvärgbägarlav
Kortskaftad ärgspik
Lavskrika
Nordtagging
Talltagel
Talltita
Tretåig hackspett
Vedflamlav
Vedskivlav
Älg
Plattlummer
Vedticka
Spillkråka
Tjäder
Havsörn</t>
        </is>
      </c>
      <c r="W18">
        <f>HYPERLINK("https://klasma.github.io/Logging_FORSKNINGSRESAN_2026_ARJEPLOG/artfynd/Maskaure Mullholm avvanm, 39,6 ha artfynd.xlsx", "Maskaure Mullholm avvanm, 39,6 ha")</f>
        <v/>
      </c>
      <c r="X18">
        <f>HYPERLINK("https://klasma.github.io/Logging_FORSKNINGSRESAN_2026_ARJEPLOG/kartor/Maskaure Mullholm avvanm, 39,6 ha karta.png", "Maskaure Mullholm avvanm, 39,6 ha")</f>
        <v/>
      </c>
      <c r="Y18">
        <f>HYPERLINK("https://klasma.github.io/Logging_FORSKNINGSRESAN_2026_ARJEPLOG/kartor_geotiff/Maskaure Mullholm avvanm, 39,6 ha georefererad karta.tif", "Maskaure Mullholm avvanm, 39,6 ha")</f>
        <v/>
      </c>
      <c r="AA18">
        <f>HYPERLINK("https://klasma.github.io/Logging_FORSKNINGSRESAN_2026_ARJEPLOG/klagomål/Maskaure Mullholm avvanm, 39,6 ha FSC-klagomål.docx", "Maskaure Mullholm avvanm, 39,6 ha")</f>
        <v/>
      </c>
      <c r="AB18">
        <f>HYPERLINK("https://klasma.github.io/Logging_FORSKNINGSRESAN_2026_ARJEPLOG/klagomålsmail/Maskaure Mullholm avvanm, 39,6 ha FSC-klagomål mail.docx", "Maskaure Mullholm avvanm, 39,6 ha")</f>
        <v/>
      </c>
      <c r="AC18">
        <f>HYPERLINK("https://klasma.github.io/Logging_FORSKNINGSRESAN_2026_ARJEPLOG/tillsyn/Maskaure Mullholm avvanm, 39,6 ha tillsynsbegäran.docx", "Maskaure Mullholm avvanm, 39,6 ha")</f>
        <v/>
      </c>
      <c r="AD18">
        <f>HYPERLINK("https://klasma.github.io/Logging_FORSKNINGSRESAN_2026_ARJEPLOG/tillsynsmail/Maskaure Mullholm avvanm, 39,6 ha tillsynsbegäran mail.docx", "Maskaure Mullholm avvanm, 39,6 ha")</f>
        <v/>
      </c>
      <c r="AE18">
        <f>HYPERLINK("https://klasma.github.io/Logging_FORSKNINGSRESAN_2026_ARJEPLOG/fåglar/Maskaure Mullholm avvanm, 39,6 ha prioriterade fågelarter.docx", "Maskaure Mullholm avvanm, 39,6 ha")</f>
        <v/>
      </c>
      <c r="AF18" t="inlineStr">
        <is>
          <t>avvanm på en ö, skjuts över med båt</t>
        </is>
      </c>
      <c r="AG18" t="n">
        <v>1</v>
      </c>
      <c r="AH18" t="inlineStr">
        <is>
          <t>Privat</t>
        </is>
      </c>
      <c r="AI18" t="inlineStr">
        <is>
          <t>Ons: Gr 2 (prio 1)</t>
        </is>
      </c>
      <c r="AJ18" t="inlineStr">
        <is>
          <t>A 34430-2025</t>
        </is>
      </c>
    </row>
    <row r="19" ht="15" customHeight="1">
      <c r="A19" t="inlineStr">
        <is>
          <t>Maskaure Myrås avvanm, 5 ha</t>
        </is>
      </c>
      <c r="B19" t="inlineStr">
        <is>
          <t>inventeringsområde</t>
        </is>
      </c>
      <c r="D19" s="1" t="n">
        <v>46223</v>
      </c>
      <c r="E19" s="1" t="n">
        <v>46226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42</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HYPERLINK("https://klasma.github.io/Logging_FORSKNINGSRESAN_2026_ARJEPLOG/artfynd/Maskaure Myrås avvanm, 5 ha artfynd.xlsx", "Maskaure Myrås avvanm, 5 ha")</f>
        <v/>
      </c>
      <c r="X19">
        <f>HYPERLINK("https://klasma.github.io/Logging_FORSKNINGSRESAN_2026_ARJEPLOG/kartor/Maskaure Myrås avvanm, 5 ha karta.png", "Maskaure Myrås avvanm, 5 ha")</f>
        <v/>
      </c>
      <c r="Y19">
        <f>HYPERLINK("https://klasma.github.io/Logging_FORSKNINGSRESAN_2026_ARJEPLOG/kartor_geotiff/Maskaure Myrås avvanm, 5 ha georefererad karta.tif", "Maskaure Myrås avvanm, 5 ha")</f>
        <v/>
      </c>
      <c r="AA19">
        <f>HYPERLINK("https://klasma.github.io/Logging_FORSKNINGSRESAN_2026_ARJEPLOG/klagomål/Maskaure Myrås avvanm, 5 ha FSC-klagomål.docx", "Maskaure Myrås avvanm, 5 ha")</f>
        <v/>
      </c>
      <c r="AB19">
        <f>HYPERLINK("https://klasma.github.io/Logging_FORSKNINGSRESAN_2026_ARJEPLOG/klagomålsmail/Maskaure Myrås avvanm, 5 ha FSC-klagomål mail.docx", "Maskaure Myrås avvanm, 5 ha")</f>
        <v/>
      </c>
      <c r="AC19">
        <f>HYPERLINK("https://klasma.github.io/Logging_FORSKNINGSRESAN_2026_ARJEPLOG/tillsyn/Maskaure Myrås avvanm, 5 ha tillsynsbegäran.docx", "Maskaure Myrås avvanm, 5 ha")</f>
        <v/>
      </c>
      <c r="AD19">
        <f>HYPERLINK("https://klasma.github.io/Logging_FORSKNINGSRESAN_2026_ARJEPLOG/tillsynsmail/Maskaure Myrås avvanm, 5 ha tillsynsbegäran mail.docx", "Maskaure Myrås avvanm, 5 ha")</f>
        <v/>
      </c>
      <c r="AE19">
        <f>HYPERLINK("https://klasma.github.io/Logging_FORSKNINGSRESAN_2026_ARJEPLOG/fåglar/Maskaure Myrås avvanm, 5 ha prioriterade fågelarter.docx", "Maskaure Myrås avvanm, 5 ha")</f>
        <v/>
      </c>
      <c r="AF19" t="inlineStr">
        <is>
          <t>avvanm, delvis inventerad</t>
        </is>
      </c>
      <c r="AG19" t="n">
        <v>1</v>
      </c>
      <c r="AH19" t="inlineStr">
        <is>
          <t>Privat</t>
        </is>
      </c>
      <c r="AI19" t="inlineStr">
        <is>
          <t>Ons: Gr 2 (prio 2)</t>
        </is>
      </c>
      <c r="AJ19" t="inlineStr">
        <is>
          <t>A 64837-2023</t>
        </is>
      </c>
    </row>
    <row r="20" ht="15" customHeight="1">
      <c r="A20" t="inlineStr">
        <is>
          <t>Juvtábákte utvidgning S</t>
        </is>
      </c>
      <c r="B20" t="inlineStr">
        <is>
          <t>inventeringsområde</t>
        </is>
      </c>
      <c r="D20" s="1" t="n">
        <v>46223</v>
      </c>
      <c r="E20" s="1" t="n">
        <v>46226</v>
      </c>
      <c r="F20" t="inlineStr">
        <is>
          <t>Norrbottens län</t>
        </is>
      </c>
      <c r="G20" t="inlineStr">
        <is>
          <t>Arjeplog</t>
        </is>
      </c>
      <c r="H20" t="inlineStr">
        <is>
          <t>Övriga statliga verk och myndigheter</t>
        </is>
      </c>
      <c r="I20" t="n">
        <v>143</v>
      </c>
      <c r="J20" t="n">
        <v>9</v>
      </c>
      <c r="K20" t="n">
        <v>4</v>
      </c>
      <c r="L20" t="n">
        <v>9</v>
      </c>
      <c r="M20" t="n">
        <v>0</v>
      </c>
      <c r="N20" t="n">
        <v>0</v>
      </c>
      <c r="O20" t="n">
        <v>0</v>
      </c>
      <c r="P20" t="n">
        <v>0</v>
      </c>
      <c r="Q20" t="n">
        <v>9</v>
      </c>
      <c r="R20" t="n">
        <v>0</v>
      </c>
      <c r="S20" t="n">
        <v>17</v>
      </c>
      <c r="T20" t="n">
        <v>23</v>
      </c>
      <c r="U20" t="n">
        <v>1</v>
      </c>
      <c r="V20" s="2" t="inlineStr">
        <is>
          <t>Blå taggsvamp
Dropptaggsvamp
Lappmes
Lavskrika
Skarp dropptaggsvamp
Stickelfrö
Talltagel
Tretåig hackspett
Ullticka
Nordlig fjädermossa
Plattlummer
Spindelblomster
Ögonpyrola
Mattlummer
Brudsporre
Fläcknycklar
Revlummer</t>
        </is>
      </c>
      <c r="W20">
        <f>HYPERLINK("https://klasma.github.io/Logging_FORSKNINGSRESAN_2026_ARJEPLOG/artfynd/Juvtábákte utvidgning S artfynd.xlsx", "Juvtábákte utvidgning S")</f>
        <v/>
      </c>
      <c r="X20">
        <f>HYPERLINK("https://klasma.github.io/Logging_FORSKNINGSRESAN_2026_ARJEPLOG/kartor/Juvtábákte utvidgning S karta.png", "Juvtábákte utvidgning S")</f>
        <v/>
      </c>
      <c r="Y20">
        <f>HYPERLINK("https://klasma.github.io/Logging_FORSKNINGSRESAN_2026_ARJEPLOG/kartor_geotiff/Juvtábákte utvidgning S georefererad karta.tif", "Juvtábákte utvidgning S")</f>
        <v/>
      </c>
      <c r="AA20">
        <f>HYPERLINK("https://klasma.github.io/Logging_FORSKNINGSRESAN_2026_ARJEPLOG/klagomål/Juvtábákte utvidgning S FSC-klagomål.docx", "Juvtábákte utvidgning S")</f>
        <v/>
      </c>
      <c r="AB20">
        <f>HYPERLINK("https://klasma.github.io/Logging_FORSKNINGSRESAN_2026_ARJEPLOG/klagomålsmail/Juvtábákte utvidgning S FSC-klagomål mail.docx", "Juvtábákte utvidgning S")</f>
        <v/>
      </c>
      <c r="AC20">
        <f>HYPERLINK("https://klasma.github.io/Logging_FORSKNINGSRESAN_2026_ARJEPLOG/tillsyn/Juvtábákte utvidgning S tillsynsbegäran.docx", "Juvtábákte utvidgning S")</f>
        <v/>
      </c>
      <c r="AD20">
        <f>HYPERLINK("https://klasma.github.io/Logging_FORSKNINGSRESAN_2026_ARJEPLOG/tillsynsmail/Juvtábákte utvidgning S tillsynsbegäran mail.docx", "Juvtábákte utvidgning S")</f>
        <v/>
      </c>
      <c r="AE20">
        <f>HYPERLINK("https://klasma.github.io/Logging_FORSKNINGSRESAN_2026_ARJEPLOG/fåglar/Juvtábákte utvidgning S prioriterade fågelarter.docx", "Juvtábákte utvidgning S")</f>
        <v/>
      </c>
      <c r="AF20" t="inlineStr">
        <is>
          <t>Avskrevs på samr.möte 171116. Samr. m SFV gäller ej längre. Inv 2022 + branten på priv.m. Ö om. Viktigt för att få ner reservatet till allmän väg, vilket ökar tillgängligheten. Bytt namn 230314 till ...Silvervägen. /FF Bör ingå i planerat</t>
        </is>
      </c>
      <c r="AG20" t="n">
        <v>2</v>
      </c>
      <c r="AH20" t="inlineStr">
        <is>
          <t>Fastighetsverket</t>
        </is>
      </c>
      <c r="AI20" t="inlineStr">
        <is>
          <t>Tis: Gr 4</t>
        </is>
      </c>
      <c r="AJ20" t="n">
        <v/>
      </c>
    </row>
    <row r="21" ht="15" customHeight="1">
      <c r="A21" t="inlineStr">
        <is>
          <t>Bremudden avvanm</t>
        </is>
      </c>
      <c r="B21" t="inlineStr">
        <is>
          <t>inventeringsområde</t>
        </is>
      </c>
      <c r="D21" s="1" t="n">
        <v>46223</v>
      </c>
      <c r="E21" s="1" t="n">
        <v>46226</v>
      </c>
      <c r="F21" t="inlineStr">
        <is>
          <t>Norrbottens län</t>
        </is>
      </c>
      <c r="G21" t="inlineStr">
        <is>
          <t>Arjeplog</t>
        </is>
      </c>
      <c r="I21" t="n">
        <v>19.7</v>
      </c>
      <c r="J21" t="n">
        <v>4</v>
      </c>
      <c r="K21" t="n">
        <v>0</v>
      </c>
      <c r="L21" t="n">
        <v>10</v>
      </c>
      <c r="M21" t="n">
        <v>3</v>
      </c>
      <c r="N21" t="n">
        <v>0</v>
      </c>
      <c r="O21" t="n">
        <v>0</v>
      </c>
      <c r="P21" t="n">
        <v>0</v>
      </c>
      <c r="Q21" t="n">
        <v>13</v>
      </c>
      <c r="R21" t="n">
        <v>3</v>
      </c>
      <c r="S21" t="n">
        <v>16</v>
      </c>
      <c r="T21" t="n">
        <v>20</v>
      </c>
      <c r="U21" t="n">
        <v>20</v>
      </c>
      <c r="V21" s="2" t="inlineStr">
        <is>
          <t>Fläckporing
Garnlav
Gräddporing
Blanksvart spiklav
Dvärgbägarlav
Grå blåbärsfältmätare
Mörk kolflarnlav
Talltagel
Talltita
Vedflamlav
Vedskivlav
Vitplätt
Älg
Tjäder
Vanlig groda
Revlummer</t>
        </is>
      </c>
      <c r="W21">
        <f>HYPERLINK("https://klasma.github.io/Logging_FORSKNINGSRESAN_2026_ARJEPLOG/artfynd/Bremudden avvanm artfynd.xlsx", "Bremudden avvanm")</f>
        <v/>
      </c>
      <c r="X21">
        <f>HYPERLINK("https://klasma.github.io/Logging_FORSKNINGSRESAN_2026_ARJEPLOG/kartor/Bremudden avvanm karta.png", "Bremudden avvanm")</f>
        <v/>
      </c>
      <c r="Y21">
        <f>HYPERLINK("https://klasma.github.io/Logging_FORSKNINGSRESAN_2026_ARJEPLOG/kartor_geotiff/Bremudden avvanm georefererad karta.tif", "Bremudden avvanm")</f>
        <v/>
      </c>
      <c r="AA21">
        <f>HYPERLINK("https://klasma.github.io/Logging_FORSKNINGSRESAN_2026_ARJEPLOG/klagomål/Bremudden avvanm FSC-klagomål.docx", "Bremudden avvanm")</f>
        <v/>
      </c>
      <c r="AB21">
        <f>HYPERLINK("https://klasma.github.io/Logging_FORSKNINGSRESAN_2026_ARJEPLOG/klagomålsmail/Bremudden avvanm FSC-klagomål mail.docx", "Bremudden avvanm")</f>
        <v/>
      </c>
      <c r="AC21">
        <f>HYPERLINK("https://klasma.github.io/Logging_FORSKNINGSRESAN_2026_ARJEPLOG/tillsyn/Bremudden avvanm tillsynsbegäran.docx", "Bremudden avvanm")</f>
        <v/>
      </c>
      <c r="AD21">
        <f>HYPERLINK("https://klasma.github.io/Logging_FORSKNINGSRESAN_2026_ARJEPLOG/tillsynsmail/Bremudden avvanm tillsynsbegäran mail.docx", "Bremudden avvanm")</f>
        <v/>
      </c>
      <c r="AE21">
        <f>HYPERLINK("https://klasma.github.io/Logging_FORSKNINGSRESAN_2026_ARJEPLOG/fåglar/Bremudden avvanm prioriterade fågelarter.docx", "Bremudden avvanm")</f>
        <v/>
      </c>
      <c r="AF21" t="inlineStr">
        <is>
          <t>avvanm</t>
        </is>
      </c>
      <c r="AG21" t="n">
        <v/>
      </c>
      <c r="AH21" t="inlineStr">
        <is>
          <t>Privat</t>
        </is>
      </c>
      <c r="AI21" t="inlineStr">
        <is>
          <t>Tis: Gr 1 (prio 2)</t>
        </is>
      </c>
      <c r="AJ21" t="inlineStr">
        <is>
          <t>A 24892-2026</t>
        </is>
      </c>
    </row>
    <row r="22" ht="15" customHeight="1">
      <c r="A22" t="inlineStr">
        <is>
          <t>S om Kvarntjärnen</t>
        </is>
      </c>
      <c r="B22" t="inlineStr">
        <is>
          <t>inventeringsområde</t>
        </is>
      </c>
      <c r="D22" s="1" t="n">
        <v>46223</v>
      </c>
      <c r="E22" s="1" t="n">
        <v>46226</v>
      </c>
      <c r="F22" t="inlineStr">
        <is>
          <t>Norrbottens län</t>
        </is>
      </c>
      <c r="G22" t="inlineStr">
        <is>
          <t>Arjeplog</t>
        </is>
      </c>
      <c r="H22" t="inlineStr">
        <is>
          <t>Sveaskog</t>
        </is>
      </c>
      <c r="I22" t="n">
        <v>27.7</v>
      </c>
      <c r="J22" t="n">
        <v>4</v>
      </c>
      <c r="K22" t="n">
        <v>3</v>
      </c>
      <c r="L22" t="n">
        <v>9</v>
      </c>
      <c r="M22" t="n">
        <v>2</v>
      </c>
      <c r="N22" t="n">
        <v>1</v>
      </c>
      <c r="O22" t="n">
        <v>0</v>
      </c>
      <c r="P22" t="n">
        <v>0</v>
      </c>
      <c r="Q22" t="n">
        <v>12</v>
      </c>
      <c r="R22" t="n">
        <v>3</v>
      </c>
      <c r="S22" t="n">
        <v>15</v>
      </c>
      <c r="T22" t="n">
        <v>82</v>
      </c>
      <c r="U22" t="n">
        <v>82</v>
      </c>
      <c r="V22" s="2" t="inlineStr">
        <is>
          <t>Lusporing
Garnlav
Gräddporing
Blanksvart spiklav
Dropptaggsvamp
Dvärgbägarlav
Lavskrika
Nordtagging
Talltagel
Talltita
Tretåig hackspett
Vedskivlav
Norrlandslav
Plattlummer
Vedticka</t>
        </is>
      </c>
      <c r="W22">
        <f>HYPERLINK("https://klasma.github.io/Logging_FORSKNINGSRESAN_2026_ARJEPLOG/artfynd/S om Kvarntjärnen artfynd.xlsx", "S om Kvarntjärnen")</f>
        <v/>
      </c>
      <c r="X22">
        <f>HYPERLINK("https://klasma.github.io/Logging_FORSKNINGSRESAN_2026_ARJEPLOG/kartor/S om Kvarntjärnen karta.png", "S om Kvarntjärnen")</f>
        <v/>
      </c>
      <c r="Y22">
        <f>HYPERLINK("https://klasma.github.io/Logging_FORSKNINGSRESAN_2026_ARJEPLOG/kartor_geotiff/S om Kvarntjärnen georefererad karta.tif", "S om Kvarntjärnen")</f>
        <v/>
      </c>
      <c r="AA22">
        <f>HYPERLINK("https://klasma.github.io/Logging_FORSKNINGSRESAN_2026_ARJEPLOG/klagomål/S om Kvarntjärnen FSC-klagomål.docx", "S om Kvarntjärnen")</f>
        <v/>
      </c>
      <c r="AB22">
        <f>HYPERLINK("https://klasma.github.io/Logging_FORSKNINGSRESAN_2026_ARJEPLOG/klagomålsmail/S om Kvarntjärnen FSC-klagomål mail.docx", "S om Kvarntjärnen")</f>
        <v/>
      </c>
      <c r="AC22">
        <f>HYPERLINK("https://klasma.github.io/Logging_FORSKNINGSRESAN_2026_ARJEPLOG/tillsyn/S om Kvarntjärnen tillsynsbegäran.docx", "S om Kvarntjärnen")</f>
        <v/>
      </c>
      <c r="AD22">
        <f>HYPERLINK("https://klasma.github.io/Logging_FORSKNINGSRESAN_2026_ARJEPLOG/tillsynsmail/S om Kvarntjärnen tillsynsbegäran mail.docx", "S om Kvarntjärnen")</f>
        <v/>
      </c>
      <c r="AE22">
        <f>HYPERLINK("https://klasma.github.io/Logging_FORSKNINGSRESAN_2026_ARJEPLOG/fåglar/S om Kvarntjärnen prioriterade fågelarter.docx", "S om Kvarntjärnen")</f>
        <v/>
      </c>
      <c r="AF22" t="inlineStr">
        <is>
          <t>Ser bra ut från vägen, bom öppen.</t>
        </is>
      </c>
      <c r="AG22" t="n">
        <v>10</v>
      </c>
      <c r="AH22" t="inlineStr">
        <is>
          <t>Sveaskog</t>
        </is>
      </c>
      <c r="AI22" t="inlineStr">
        <is>
          <t>Tis: Gr 2 (prio 3)</t>
        </is>
      </c>
      <c r="AJ22" t="n">
        <v/>
      </c>
    </row>
    <row r="23" ht="15" customHeight="1">
      <c r="A23" t="inlineStr">
        <is>
          <t>Bergmyrarna avvanm</t>
        </is>
      </c>
      <c r="B23" t="inlineStr">
        <is>
          <t>inventeringsområde</t>
        </is>
      </c>
      <c r="D23" s="1" t="n">
        <v>46223</v>
      </c>
      <c r="E23" s="1" t="n">
        <v>46226</v>
      </c>
      <c r="F23" t="inlineStr">
        <is>
          <t>Norrbottens län</t>
        </is>
      </c>
      <c r="G23" t="inlineStr">
        <is>
          <t>Arjeplog</t>
        </is>
      </c>
      <c r="H23" t="inlineStr">
        <is>
          <t>Allmännings- och besparingsskogar</t>
        </is>
      </c>
      <c r="I23" t="n">
        <v>17.7</v>
      </c>
      <c r="J23" t="n">
        <v>5</v>
      </c>
      <c r="K23" t="n">
        <v>3</v>
      </c>
      <c r="L23" t="n">
        <v>8</v>
      </c>
      <c r="M23" t="n">
        <v>1</v>
      </c>
      <c r="N23" t="n">
        <v>0</v>
      </c>
      <c r="O23" t="n">
        <v>0</v>
      </c>
      <c r="P23" t="n">
        <v>0</v>
      </c>
      <c r="Q23" t="n">
        <v>9</v>
      </c>
      <c r="R23" t="n">
        <v>1</v>
      </c>
      <c r="S23" t="n">
        <v>14</v>
      </c>
      <c r="T23" t="n">
        <v>62</v>
      </c>
      <c r="U23" t="n">
        <v>62</v>
      </c>
      <c r="V23" s="2" t="inlineStr">
        <is>
          <t>Garnlav
Dvärgbägarlav
Gammelgransskål
Knottrig blåslav
Rödbrun blekspik
Stjärntagging
Tretåig hackspett
Vedskivlav
Vitgrynig nållav
Korallrot
Spindelblomster
Vågbandad barkbock
Spillkråka
Tjäder</t>
        </is>
      </c>
      <c r="W23">
        <f>HYPERLINK("https://klasma.github.io/Logging_FORSKNINGSRESAN_2026_ARJEPLOG/artfynd/Bergmyrarna avvanm artfynd.xlsx", "Bergmyrarna avvanm")</f>
        <v/>
      </c>
      <c r="X23">
        <f>HYPERLINK("https://klasma.github.io/Logging_FORSKNINGSRESAN_2026_ARJEPLOG/kartor/Bergmyrarna avvanm karta.png", "Bergmyrarna avvanm")</f>
        <v/>
      </c>
      <c r="Y23">
        <f>HYPERLINK("https://klasma.github.io/Logging_FORSKNINGSRESAN_2026_ARJEPLOG/kartor_geotiff/Bergmyrarna avvanm georefererad karta.tif", "Bergmyrarna avvanm")</f>
        <v/>
      </c>
      <c r="AA23">
        <f>HYPERLINK("https://klasma.github.io/Logging_FORSKNINGSRESAN_2026_ARJEPLOG/klagomål/Bergmyrarna avvanm FSC-klagomål.docx", "Bergmyrarna avvanm")</f>
        <v/>
      </c>
      <c r="AB23">
        <f>HYPERLINK("https://klasma.github.io/Logging_FORSKNINGSRESAN_2026_ARJEPLOG/klagomålsmail/Bergmyrarna avvanm FSC-klagomål mail.docx", "Bergmyrarna avvanm")</f>
        <v/>
      </c>
      <c r="AC23">
        <f>HYPERLINK("https://klasma.github.io/Logging_FORSKNINGSRESAN_2026_ARJEPLOG/tillsyn/Bergmyrarna avvanm tillsynsbegäran.docx", "Bergmyrarna avvanm")</f>
        <v/>
      </c>
      <c r="AD23">
        <f>HYPERLINK("https://klasma.github.io/Logging_FORSKNINGSRESAN_2026_ARJEPLOG/tillsynsmail/Bergmyrarna avvanm tillsynsbegäran mail.docx", "Bergmyrarna avvanm")</f>
        <v/>
      </c>
      <c r="AE23">
        <f>HYPERLINK("https://klasma.github.io/Logging_FORSKNINGSRESAN_2026_ARJEPLOG/fåglar/Bergmyrarna avvanm prioriterade fågelarter.docx", "Bergmyrarna avvanm")</f>
        <v/>
      </c>
      <c r="AF23" t="inlineStr">
        <is>
          <t>155 år bevskikt, bör inventeras!!</t>
        </is>
      </c>
      <c r="AG23" t="n">
        <v>10</v>
      </c>
      <c r="AH23" t="inlineStr">
        <is>
          <t>Allmännings- och besparingsskogar</t>
        </is>
      </c>
      <c r="AI23" t="n">
        <v/>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2026-07-23T18:23:36Z</dcterms:created>
  <dcterms:modified xmlns:dcterms="http://purl.org/dc/terms/" xmlns:xsi="http://www.w3.org/2001/XMLSchema-instance" xsi:type="dcterms:W3CDTF">2026-07-23T18:23:36Z</dcterms:modified>
</cp:coreProperties>
</file>