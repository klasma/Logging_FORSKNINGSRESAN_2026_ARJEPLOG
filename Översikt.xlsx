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19</v>
      </c>
      <c r="M3" t="n">
        <v>9</v>
      </c>
      <c r="N3" t="n">
        <v>0</v>
      </c>
      <c r="O3" t="n">
        <v>0</v>
      </c>
      <c r="P3" t="n">
        <v>0</v>
      </c>
      <c r="Q3" t="n">
        <v>28</v>
      </c>
      <c r="R3" t="n">
        <v>9</v>
      </c>
      <c r="S3" t="n">
        <v>52</v>
      </c>
      <c r="T3" t="n">
        <v>373</v>
      </c>
      <c r="U3" t="n">
        <v>337</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202</v>
      </c>
      <c r="U7" t="n">
        <v>199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Iksjak-Råssnesudden</t>
        </is>
      </c>
      <c r="B14" t="inlineStr">
        <is>
          <t>inventeringsområde</t>
        </is>
      </c>
      <c r="D14" s="1" t="n">
        <v>46223</v>
      </c>
      <c r="E14" s="1" t="n">
        <v>46227</v>
      </c>
      <c r="F14" t="inlineStr">
        <is>
          <t>Norrbottens län</t>
        </is>
      </c>
      <c r="G14" t="inlineStr">
        <is>
          <t>Arjeplog</t>
        </is>
      </c>
      <c r="H14" t="inlineStr">
        <is>
          <t>Övriga statliga verk och myndigheter</t>
        </is>
      </c>
      <c r="I14" t="n">
        <v>676.5</v>
      </c>
      <c r="J14" t="n">
        <v>7</v>
      </c>
      <c r="K14" t="n">
        <v>7</v>
      </c>
      <c r="L14" t="n">
        <v>15</v>
      </c>
      <c r="M14" t="n">
        <v>4</v>
      </c>
      <c r="N14" t="n">
        <v>0</v>
      </c>
      <c r="O14" t="n">
        <v>0</v>
      </c>
      <c r="P14" t="n">
        <v>0</v>
      </c>
      <c r="Q14" t="n">
        <v>19</v>
      </c>
      <c r="R14" t="n">
        <v>4</v>
      </c>
      <c r="S14" t="n">
        <v>31</v>
      </c>
      <c r="T14" t="n">
        <v>77</v>
      </c>
      <c r="U14" t="n">
        <v>63</v>
      </c>
      <c r="V14" s="2" t="inlineStr">
        <is>
          <t>Fläckporing
Garnlav
Gräddporing
Knärot
Blanksvart spiklav
Dropptaggsvamp
Dvärgbägarlav
Gullmurkling
Knottrig blåslav
Liten svartspik
Rutspindling
Skrovellav
Talltagel
Talltaggsvamp
Talltita
Tretåig hackspett
Vedflamlav
Vedskivlav
Vitplätt
Korallrot
Norrlandslav
Plattlummer
Skinnlav
Spindelblomster
Stuplav
Ögonpyrola
Brudborste
Grå renlav
Nordisk stormhatt
Torta
Revlummer</t>
        </is>
      </c>
      <c r="W14">
        <f>HYPERLINK("https://klasma.github.io/Logging_FORSKNINGSRESAN_2026_ARJEPLOG/artfynd/Iksjak-Råssnesudden artfynd.xlsx", "Iksjak-Råssnesudden")</f>
        <v/>
      </c>
      <c r="X14">
        <f>HYPERLINK("https://klasma.github.io/Logging_FORSKNINGSRESAN_2026_ARJEPLOG/kartor/Iksjak-Råssnesudden karta.png", "Iksjak-Råssnesudden")</f>
        <v/>
      </c>
      <c r="Y14">
        <f>HYPERLINK("https://klasma.github.io/Logging_FORSKNINGSRESAN_2026_ARJEPLOG/kartor_geotiff/Iksjak-Råssnesudden georefererad karta.tif", "Iksjak-Råssnesudden")</f>
        <v/>
      </c>
      <c r="Z14">
        <f>HYPERLINK("https://klasma.github.io/Logging_FORSKNINGSRESAN_2026_ARJEPLOG/knärot/Iksjak-Råssnesudden karta knärot.png", "Iksjak-Råssnesudden")</f>
        <v/>
      </c>
      <c r="AA14">
        <f>HYPERLINK("https://klasma.github.io/Logging_FORSKNINGSRESAN_2026_ARJEPLOG/klagomål/Iksjak-Råssnesudden FSC-klagomål.docx", "Iksjak-Råssnesudden")</f>
        <v/>
      </c>
      <c r="AB14">
        <f>HYPERLINK("https://klasma.github.io/Logging_FORSKNINGSRESAN_2026_ARJEPLOG/klagomålsmail/Iksjak-Råssnesudden FSC-klagomål mail.docx", "Iksjak-Råssnesudden")</f>
        <v/>
      </c>
      <c r="AC14">
        <f>HYPERLINK("https://klasma.github.io/Logging_FORSKNINGSRESAN_2026_ARJEPLOG/tillsyn/Iksjak-Råssnesudden tillsynsbegäran.docx", "Iksjak-Råssnesudden")</f>
        <v/>
      </c>
      <c r="AD14">
        <f>HYPERLINK("https://klasma.github.io/Logging_FORSKNINGSRESAN_2026_ARJEPLOG/tillsynsmail/Iksjak-Råssnesudden tillsynsbegäran mail.docx", "Iksjak-Råssnesudden")</f>
        <v/>
      </c>
      <c r="AE14">
        <f>HYPERLINK("https://klasma.github.io/Logging_FORSKNINGSRESAN_2026_ARJEPLOG/fåglar/Iksjak-Råssnesudden prioriterade fågelarter.docx", "Iksjak-Råssnesudden")</f>
        <v/>
      </c>
      <c r="AF14" t="inlineStr">
        <is>
          <t>Obruten skog. 80-90 % genomgallrat. Finast längst kanterna. Finns stor parkering vid vägen.</t>
        </is>
      </c>
      <c r="AG14" t="n">
        <v>1</v>
      </c>
      <c r="AH14" t="inlineStr">
        <is>
          <t>Övriga statliga verk och myndigheter</t>
        </is>
      </c>
      <c r="AI14" t="n">
        <v/>
      </c>
      <c r="AJ14" t="n">
        <v/>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2026-07-24T14:35:29Z</dcterms:created>
  <dcterms:modified xmlns:dcterms="http://purl.org/dc/terms/" xmlns:xsi="http://www.w3.org/2001/XMLSchema-instance" xsi:type="dcterms:W3CDTF">2026-07-24T14:35:29Z</dcterms:modified>
</cp:coreProperties>
</file>