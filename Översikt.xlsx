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46226</v>
      </c>
      <c r="F2" t="inlineStr">
        <is>
          <t>Norrbottens län</t>
        </is>
      </c>
      <c r="G2" t="inlineStr">
        <is>
          <t>Arjeplog</t>
        </is>
      </c>
      <c r="I2" t="n">
        <v>111.8</v>
      </c>
      <c r="J2" t="n">
        <v>9</v>
      </c>
      <c r="K2" t="n">
        <v>14</v>
      </c>
      <c r="L2" t="n">
        <v>24</v>
      </c>
      <c r="M2" t="n">
        <v>13</v>
      </c>
      <c r="N2" t="n">
        <v>0</v>
      </c>
      <c r="O2" t="n">
        <v>0</v>
      </c>
      <c r="P2" t="n">
        <v>0</v>
      </c>
      <c r="Q2" t="n">
        <v>37</v>
      </c>
      <c r="R2" t="n">
        <v>13</v>
      </c>
      <c r="S2" t="n">
        <v>63</v>
      </c>
      <c r="T2" t="n">
        <v>343</v>
      </c>
      <c r="U2" t="n">
        <v>343</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Harticka
Knottrig blåslav
Lavskrika
Liten svartspik
Lunglav
Rosenticka
Rostania pallida
Rynkskinn
Rödbrun blekspik
Skrovellav
Stjärntagging
Talltita
Tretåig hackspett
Ullticka
Vedflamlav
Vedskivlav
Vitgrynig nållav
Barkticka
Blodticka
Bårdlav
Grönkulla
Gulnål
Korallrot
Källpraktmossa
Luddlav
Rostfläck
Spindelblomster
Stuplav
Tibast
Vedticka
Ögonpyrola
Bergsslok
Brudborste
Ekbräken
Humleblomster
Kärrfibbla
Lundarv
Nordisk stormhatt
Ormbär
Spillkråka
Tjäder
Torta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Muorkenåive-Ássjátj S</t>
        </is>
      </c>
      <c r="B3" t="inlineStr">
        <is>
          <t>inventeringsområde</t>
        </is>
      </c>
      <c r="D3" s="1" t="n">
        <v>46223</v>
      </c>
      <c r="E3" s="1" t="n">
        <v>46226</v>
      </c>
      <c r="F3" t="inlineStr">
        <is>
          <t>Norrbottens län</t>
        </is>
      </c>
      <c r="G3" t="inlineStr">
        <is>
          <t>Arjeplog</t>
        </is>
      </c>
      <c r="I3" t="n">
        <v>113.6</v>
      </c>
      <c r="J3" t="n">
        <v>8</v>
      </c>
      <c r="K3" t="n">
        <v>13</v>
      </c>
      <c r="L3" t="n">
        <v>19</v>
      </c>
      <c r="M3" t="n">
        <v>8</v>
      </c>
      <c r="N3" t="n">
        <v>1</v>
      </c>
      <c r="O3" t="n">
        <v>0</v>
      </c>
      <c r="P3" t="n">
        <v>0</v>
      </c>
      <c r="Q3" t="n">
        <v>28</v>
      </c>
      <c r="R3" t="n">
        <v>9</v>
      </c>
      <c r="S3" t="n">
        <v>51</v>
      </c>
      <c r="T3" t="n">
        <v>297</v>
      </c>
      <c r="U3" t="n">
        <v>285</v>
      </c>
      <c r="V3" s="2" t="inlineStr">
        <is>
          <t>Isabellporing
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Norrlandslav
Skinnlav
Spindelblomster
Stuplav
Tibast
Trådticka
Vedticka
Ögonpyrola
Ekbräken
Fjällskråp
Hultbräken
Humleblomster
Kransmossa
Nordisk stormhatt
Torta
Fläcknycklar
Myggblomster
Revlummer</t>
        </is>
      </c>
      <c r="W3">
        <f>HYPERLINK("https://klasma.github.io/Logging_FORSKNINGSRESAN_2026_ARJEPLOG/artfynd/Muorkenåive-Ássjátj S artfynd.xlsx", "Muorkenåive-Ássjátj S")</f>
        <v/>
      </c>
      <c r="X3">
        <f>HYPERLINK("https://klasma.github.io/Logging_FORSKNINGSRESAN_2026_ARJEPLOG/kartor/Muorkenåive-Ássjátj S karta.png", "Muorkenåive-Ássjátj S")</f>
        <v/>
      </c>
      <c r="Y3">
        <f>HYPERLINK("https://klasma.github.io/Logging_FORSKNINGSRESAN_2026_ARJEPLOG/kartor_geotiff/Muorkenåive-Ássjátj S georefererad karta.tif", "Muorkenåive-Ássjátj S")</f>
        <v/>
      </c>
      <c r="AA3">
        <f>HYPERLINK("https://klasma.github.io/Logging_FORSKNINGSRESAN_2026_ARJEPLOG/klagomål/Muorkenåive-Ássjátj S FSC-klagomål.docx", "Muorkenåive-Ássjátj S")</f>
        <v/>
      </c>
      <c r="AB3">
        <f>HYPERLINK("https://klasma.github.io/Logging_FORSKNINGSRESAN_2026_ARJEPLOG/klagomålsmail/Muorkenåive-Ássjátj S FSC-klagomål mail.docx", "Muorkenåive-Ássjátj S")</f>
        <v/>
      </c>
      <c r="AC3">
        <f>HYPERLINK("https://klasma.github.io/Logging_FORSKNINGSRESAN_2026_ARJEPLOG/tillsyn/Muorkenåive-Ássjátj S tillsynsbegäran.docx", "Muorkenåive-Ássjátj S")</f>
        <v/>
      </c>
      <c r="AD3">
        <f>HYPERLINK("https://klasma.github.io/Logging_FORSKNINGSRESAN_2026_ARJEPLOG/tillsynsmail/Muorkenåive-Ássjátj S tillsynsbegäran mail.docx", "Muorkenåive-Ássjátj S")</f>
        <v/>
      </c>
      <c r="AE3">
        <f>HYPERLINK("https://klasma.github.io/Logging_FORSKNINGSRESAN_2026_ARJEPLOG/fåglar/Muorkenåive-Ássjátj S prioriterade fågelarter.docx", "Muorkenåive-Ássjátj S")</f>
        <v/>
      </c>
      <c r="AF3" t="inlineStr">
        <is>
          <t>Slagit samman Muorkenåive-privat med Assjatj-privat (lilla) till ett objekt efter fältgenomgång. /FF Behöver inte finkamma, men bra att få in några fynd. kommer avvanm hela tiden.</t>
        </is>
      </c>
      <c r="AG3" t="n">
        <v>1</v>
      </c>
      <c r="AH3" t="inlineStr">
        <is>
          <t>Privat</t>
        </is>
      </c>
      <c r="AI3" t="inlineStr">
        <is>
          <t>Dag Gran: Gr 3</t>
        </is>
      </c>
      <c r="AJ3" t="n">
        <v/>
      </c>
    </row>
    <row r="4" ht="15" customHeight="1">
      <c r="A4" t="inlineStr">
        <is>
          <t>Laisdalen Björkliden</t>
        </is>
      </c>
      <c r="B4" t="inlineStr">
        <is>
          <t>inventeringsområde</t>
        </is>
      </c>
      <c r="D4" s="1" t="n">
        <v>46223</v>
      </c>
      <c r="E4" s="1" t="n">
        <v>46226</v>
      </c>
      <c r="F4" t="inlineStr">
        <is>
          <t>Norrbottens län</t>
        </is>
      </c>
      <c r="G4" t="inlineStr">
        <is>
          <t>Arjeplog</t>
        </is>
      </c>
      <c r="H4" t="inlineStr">
        <is>
          <t>Övriga statliga verk och myndigheter</t>
        </is>
      </c>
      <c r="I4" t="n">
        <v>119.1</v>
      </c>
      <c r="J4" t="n">
        <v>13</v>
      </c>
      <c r="K4" t="n">
        <v>11</v>
      </c>
      <c r="L4" t="n">
        <v>18</v>
      </c>
      <c r="M4" t="n">
        <v>8</v>
      </c>
      <c r="N4" t="n">
        <v>0</v>
      </c>
      <c r="O4" t="n">
        <v>0</v>
      </c>
      <c r="P4" t="n">
        <v>0</v>
      </c>
      <c r="Q4" t="n">
        <v>26</v>
      </c>
      <c r="R4" t="n">
        <v>8</v>
      </c>
      <c r="S4" t="n">
        <v>50</v>
      </c>
      <c r="T4" t="n">
        <v>372</v>
      </c>
      <c r="U4" t="n">
        <v>336</v>
      </c>
      <c r="V4" s="2" t="inlineStr">
        <is>
          <t>Garnlav
Grantickeporing
Gränsticka
Knärot
Lappticka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Gålggåmisvárre</t>
        </is>
      </c>
      <c r="B5" t="inlineStr">
        <is>
          <t>inventeringsområde</t>
        </is>
      </c>
      <c r="D5" s="1" t="n">
        <v>46223</v>
      </c>
      <c r="E5" s="1" t="n">
        <v>46226</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46226</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46226</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46226</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Maskaure Tsågávrrie avvanm, 17,8 ha</t>
        </is>
      </c>
      <c r="B9" t="inlineStr">
        <is>
          <t>inventeringsområde</t>
        </is>
      </c>
      <c r="D9" s="1" t="n">
        <v>46223</v>
      </c>
      <c r="E9" s="1" t="n">
        <v>46226</v>
      </c>
      <c r="F9" t="inlineStr">
        <is>
          <t>Norrbottens län</t>
        </is>
      </c>
      <c r="G9" t="inlineStr">
        <is>
          <t>Arjeplog</t>
        </is>
      </c>
      <c r="I9" t="n">
        <v>17.8</v>
      </c>
      <c r="J9" t="n">
        <v>7</v>
      </c>
      <c r="K9" t="n">
        <v>10</v>
      </c>
      <c r="L9" t="n">
        <v>17</v>
      </c>
      <c r="M9" t="n">
        <v>3</v>
      </c>
      <c r="N9" t="n">
        <v>0</v>
      </c>
      <c r="O9" t="n">
        <v>0</v>
      </c>
      <c r="P9" t="n">
        <v>0</v>
      </c>
      <c r="Q9" t="n">
        <v>20</v>
      </c>
      <c r="R9" t="n">
        <v>3</v>
      </c>
      <c r="S9" t="n">
        <v>33</v>
      </c>
      <c r="T9" t="n">
        <v>100</v>
      </c>
      <c r="U9" t="n">
        <v>100</v>
      </c>
      <c r="V9"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9">
        <f>HYPERLINK("https://klasma.github.io/Logging_FORSKNINGSRESAN_2026_ARJEPLOG/artfynd/Maskaure Tsågávrrie avvanm, 17,8 ha artfynd.xlsx", "Maskaure Tsågávrrie avvanm, 17,8 ha")</f>
        <v/>
      </c>
      <c r="X9">
        <f>HYPERLINK("https://klasma.github.io/Logging_FORSKNINGSRESAN_2026_ARJEPLOG/kartor/Maskaure Tsågávrrie avvanm, 17,8 ha karta.png", "Maskaure Tsågávrrie avvanm, 17,8 ha")</f>
        <v/>
      </c>
      <c r="Y9">
        <f>HYPERLINK("https://klasma.github.io/Logging_FORSKNINGSRESAN_2026_ARJEPLOG/kartor_geotiff/Maskaure Tsågávrrie avvanm, 17,8 ha georefererad karta.tif", "Maskaure Tsågávrrie avvanm, 17,8 ha")</f>
        <v/>
      </c>
      <c r="AA9">
        <f>HYPERLINK("https://klasma.github.io/Logging_FORSKNINGSRESAN_2026_ARJEPLOG/klagomål/Maskaure Tsågávrrie avvanm, 17,8 ha FSC-klagomål.docx", "Maskaure Tsågávrrie avvanm, 17,8 ha")</f>
        <v/>
      </c>
      <c r="AB9">
        <f>HYPERLINK("https://klasma.github.io/Logging_FORSKNINGSRESAN_2026_ARJEPLOG/klagomålsmail/Maskaure Tsågávrrie avvanm, 17,8 ha FSC-klagomål mail.docx", "Maskaure Tsågávrrie avvanm, 17,8 ha")</f>
        <v/>
      </c>
      <c r="AC9">
        <f>HYPERLINK("https://klasma.github.io/Logging_FORSKNINGSRESAN_2026_ARJEPLOG/tillsyn/Maskaure Tsågávrrie avvanm, 17,8 ha tillsynsbegäran.docx", "Maskaure Tsågávrrie avvanm, 17,8 ha")</f>
        <v/>
      </c>
      <c r="AD9">
        <f>HYPERLINK("https://klasma.github.io/Logging_FORSKNINGSRESAN_2026_ARJEPLOG/tillsynsmail/Maskaure Tsågávrrie avvanm, 17,8 ha tillsynsbegäran mail.docx", "Maskaure Tsågávrrie avvanm, 17,8 ha")</f>
        <v/>
      </c>
      <c r="AE9">
        <f>HYPERLINK("https://klasma.github.io/Logging_FORSKNINGSRESAN_2026_ARJEPLOG/fåglar/Maskaure Tsågávrrie avvanm, 17,8 ha prioriterade fågelarter.docx", "Maskaure Tsågávrrie avvanm, 17,8 ha")</f>
        <v/>
      </c>
      <c r="AF9" t="inlineStr">
        <is>
          <t>avvanm</t>
        </is>
      </c>
      <c r="AG9" t="n">
        <v>1</v>
      </c>
      <c r="AH9" t="inlineStr">
        <is>
          <t>Privat</t>
        </is>
      </c>
      <c r="AI9" t="inlineStr">
        <is>
          <t>Ons: Gr 2 (prio 3)</t>
        </is>
      </c>
      <c r="AJ9" t="inlineStr">
        <is>
          <t>A 64809-2023</t>
        </is>
      </c>
    </row>
    <row r="10" ht="15" customHeight="1">
      <c r="A10" t="inlineStr">
        <is>
          <t>Västra Kikkejaure korsningen Långviken avvanm</t>
        </is>
      </c>
      <c r="B10" t="inlineStr">
        <is>
          <t>inventeringsområde</t>
        </is>
      </c>
      <c r="D10" s="1" t="n">
        <v>46223</v>
      </c>
      <c r="E10" s="1" t="n">
        <v>46226</v>
      </c>
      <c r="F10" t="inlineStr">
        <is>
          <t>Norrbottens län</t>
        </is>
      </c>
      <c r="G10" t="inlineStr">
        <is>
          <t>Arjeplog</t>
        </is>
      </c>
      <c r="H10" t="inlineStr">
        <is>
          <t>Allmännings- och besparingsskogar</t>
        </is>
      </c>
      <c r="I10" t="n">
        <v>25.5</v>
      </c>
      <c r="J10" t="n">
        <v>4</v>
      </c>
      <c r="K10" t="n">
        <v>4</v>
      </c>
      <c r="L10" t="n">
        <v>20</v>
      </c>
      <c r="M10" t="n">
        <v>5</v>
      </c>
      <c r="N10" t="n">
        <v>1</v>
      </c>
      <c r="O10" t="n">
        <v>0</v>
      </c>
      <c r="P10" t="n">
        <v>0</v>
      </c>
      <c r="Q10" t="n">
        <v>26</v>
      </c>
      <c r="R10" t="n">
        <v>6</v>
      </c>
      <c r="S10" t="n">
        <v>32</v>
      </c>
      <c r="T10" t="n">
        <v>188</v>
      </c>
      <c r="U10" t="n">
        <v>188</v>
      </c>
      <c r="V1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0">
        <f>HYPERLINK("https://klasma.github.io/Logging_FORSKNINGSRESAN_2026_ARJEPLOG/artfynd/Västra Kikkejaure korsningen Långviken avvanm artfynd.xlsx", "Västra Kikkejaure korsningen Långviken avvanm")</f>
        <v/>
      </c>
      <c r="X10">
        <f>HYPERLINK("https://klasma.github.io/Logging_FORSKNINGSRESAN_2026_ARJEPLOG/kartor/Västra Kikkejaure korsningen Långviken avvanm karta.png", "Västra Kikkejaure korsningen Långviken avvanm")</f>
        <v/>
      </c>
      <c r="Y10">
        <f>HYPERLINK("https://klasma.github.io/Logging_FORSKNINGSRESAN_2026_ARJEPLOG/kartor_geotiff/Västra Kikkejaure korsningen Långviken avvanm georefererad karta.tif", "Västra Kikkejaure korsningen Långviken avvanm")</f>
        <v/>
      </c>
      <c r="AA10">
        <f>HYPERLINK("https://klasma.github.io/Logging_FORSKNINGSRESAN_2026_ARJEPLOG/klagomål/Västra Kikkejaure korsningen Långviken avvanm FSC-klagomål.docx", "Västra Kikkejaure korsningen Långviken avvanm")</f>
        <v/>
      </c>
      <c r="AB10">
        <f>HYPERLINK("https://klasma.github.io/Logging_FORSKNINGSRESAN_2026_ARJEPLOG/klagomålsmail/Västra Kikkejaure korsningen Långviken avvanm FSC-klagomål mail.docx", "Västra Kikkejaure korsningen Långviken avvanm")</f>
        <v/>
      </c>
      <c r="AC10">
        <f>HYPERLINK("https://klasma.github.io/Logging_FORSKNINGSRESAN_2026_ARJEPLOG/tillsyn/Västra Kikkejaure korsningen Långviken avvanm tillsynsbegäran.docx", "Västra Kikkejaure korsningen Långviken avvanm")</f>
        <v/>
      </c>
      <c r="AD10">
        <f>HYPERLINK("https://klasma.github.io/Logging_FORSKNINGSRESAN_2026_ARJEPLOG/tillsynsmail/Västra Kikkejaure korsningen Långviken avvanm tillsynsbegäran mail.docx", "Västra Kikkejaure korsningen Långviken avvanm")</f>
        <v/>
      </c>
      <c r="AE10">
        <f>HYPERLINK("https://klasma.github.io/Logging_FORSKNINGSRESAN_2026_ARJEPLOG/fåglar/Västra Kikkejaure korsningen Långviken avvanm prioriterade fågelarter.docx", "Västra Kikkejaure korsningen Långviken avvanm")</f>
        <v/>
      </c>
      <c r="AF10" t="inlineStr">
        <is>
          <t>avvanm, tallnaturskog med silverved</t>
        </is>
      </c>
      <c r="AG10" t="n">
        <v>1</v>
      </c>
      <c r="AH10" t="inlineStr">
        <is>
          <t>Allmännings- och besparingsskogar</t>
        </is>
      </c>
      <c r="AI10" t="inlineStr">
        <is>
          <t>Tis: Gr 2 (prio 1)</t>
        </is>
      </c>
      <c r="AJ10" t="inlineStr">
        <is>
          <t>A 45924-2023</t>
        </is>
      </c>
    </row>
    <row r="11" ht="15" customHeight="1">
      <c r="A11" t="inlineStr">
        <is>
          <t>Maskaure Skornjamyran avvanm, 11,2 ha</t>
        </is>
      </c>
      <c r="B11" t="inlineStr">
        <is>
          <t>inventeringsområde</t>
        </is>
      </c>
      <c r="D11" s="1" t="n">
        <v>46223</v>
      </c>
      <c r="E11" s="1" t="n">
        <v>46226</v>
      </c>
      <c r="F11" t="inlineStr">
        <is>
          <t>Norrbottens län</t>
        </is>
      </c>
      <c r="G11" t="inlineStr">
        <is>
          <t>Arjeplog</t>
        </is>
      </c>
      <c r="I11" t="n">
        <v>11.2</v>
      </c>
      <c r="J11" t="n">
        <v>4</v>
      </c>
      <c r="K11" t="n">
        <v>4</v>
      </c>
      <c r="L11" t="n">
        <v>16</v>
      </c>
      <c r="M11" t="n">
        <v>8</v>
      </c>
      <c r="N11" t="n">
        <v>0</v>
      </c>
      <c r="O11" t="n">
        <v>0</v>
      </c>
      <c r="P11" t="n">
        <v>0</v>
      </c>
      <c r="Q11" t="n">
        <v>24</v>
      </c>
      <c r="R11" t="n">
        <v>8</v>
      </c>
      <c r="S11" t="n">
        <v>29</v>
      </c>
      <c r="T11" t="n">
        <v>127</v>
      </c>
      <c r="U11" t="n">
        <v>127</v>
      </c>
      <c r="V11" s="2" t="inlineStr">
        <is>
          <t>Blackticka
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Svanvik SO avvanm</t>
        </is>
      </c>
      <c r="B12" t="inlineStr">
        <is>
          <t>inventeringsområde</t>
        </is>
      </c>
      <c r="D12" s="1" t="n">
        <v>46223</v>
      </c>
      <c r="E12" s="1" t="n">
        <v>46226</v>
      </c>
      <c r="F12" t="inlineStr">
        <is>
          <t>Norrbottens län</t>
        </is>
      </c>
      <c r="G12" t="inlineStr">
        <is>
          <t>Arjeplog</t>
        </is>
      </c>
      <c r="I12" t="n">
        <v>12.9</v>
      </c>
      <c r="J12" t="n">
        <v>6</v>
      </c>
      <c r="K12" t="n">
        <v>10</v>
      </c>
      <c r="L12" t="n">
        <v>14</v>
      </c>
      <c r="M12" t="n">
        <v>4</v>
      </c>
      <c r="N12" t="n">
        <v>0</v>
      </c>
      <c r="O12" t="n">
        <v>0</v>
      </c>
      <c r="P12" t="n">
        <v>0</v>
      </c>
      <c r="Q12" t="n">
        <v>18</v>
      </c>
      <c r="R12" t="n">
        <v>4</v>
      </c>
      <c r="S12" t="n">
        <v>29</v>
      </c>
      <c r="T12" t="n">
        <v>120</v>
      </c>
      <c r="U12" t="n">
        <v>120</v>
      </c>
      <c r="V12" s="2" t="inlineStr">
        <is>
          <t>Garnlav
Gränsticka
Knärot
Lappticka
Blanksvart spiklav
Doftskinn
Gammelgransskål
Harticka
Knottrig blåslav
Lavskrika
Rosenticka
Skrovellav
Talltita
Tretåig hackspett
Ullticka
Vedflamlav
Vedtrappmossa
Vitgrynig nållav
Bronshjon
Bårdlav
Källmossor
Luddlav
Plattlummer
Spindelblomster
Stuplav
Vedticka
Vågbandad barkbock
Ögonpyrola
Bergsslok</t>
        </is>
      </c>
      <c r="W12">
        <f>HYPERLINK("https://klasma.github.io/Logging_FORSKNINGSRESAN_2026_ARJEPLOG/artfynd/Svanvik SO avvanm artfynd.xlsx", "Svanvik SO avvanm")</f>
        <v/>
      </c>
      <c r="X12">
        <f>HYPERLINK("https://klasma.github.io/Logging_FORSKNINGSRESAN_2026_ARJEPLOG/kartor/Svanvik SO avvanm karta.png", "Svanvik SO avvanm")</f>
        <v/>
      </c>
      <c r="Y12">
        <f>HYPERLINK("https://klasma.github.io/Logging_FORSKNINGSRESAN_2026_ARJEPLOG/kartor_geotiff/Svanvik SO avvanm georefererad karta.tif", "Svanvik SO avvanm")</f>
        <v/>
      </c>
      <c r="Z12">
        <f>HYPERLINK("https://klasma.github.io/Logging_FORSKNINGSRESAN_2026_ARJEPLOG/knärot/Svanvik SO avvanm karta knärot.png", "Svanvik SO avvanm")</f>
        <v/>
      </c>
      <c r="AA12">
        <f>HYPERLINK("https://klasma.github.io/Logging_FORSKNINGSRESAN_2026_ARJEPLOG/klagomål/Svanvik SO avvanm FSC-klagomål.docx", "Svanvik SO avvanm")</f>
        <v/>
      </c>
      <c r="AB12">
        <f>HYPERLINK("https://klasma.github.io/Logging_FORSKNINGSRESAN_2026_ARJEPLOG/klagomålsmail/Svanvik SO avvanm FSC-klagomål mail.docx", "Svanvik SO avvanm")</f>
        <v/>
      </c>
      <c r="AC12">
        <f>HYPERLINK("https://klasma.github.io/Logging_FORSKNINGSRESAN_2026_ARJEPLOG/tillsyn/Svanvik SO avvanm tillsynsbegäran.docx", "Svanvik SO avvanm")</f>
        <v/>
      </c>
      <c r="AD12">
        <f>HYPERLINK("https://klasma.github.io/Logging_FORSKNINGSRESAN_2026_ARJEPLOG/tillsynsmail/Svanvik SO avvanm tillsynsbegäran mail.docx", "Svanvik SO avvanm")</f>
        <v/>
      </c>
      <c r="AE12">
        <f>HYPERLINK("https://klasma.github.io/Logging_FORSKNINGSRESAN_2026_ARJEPLOG/fåglar/Svanvik SO avvanm prioriterade fågelarter.docx", "Svanvik SO avvanm")</f>
        <v/>
      </c>
      <c r="AF12" t="inlineStr">
        <is>
          <t>Grannaturskog</t>
        </is>
      </c>
      <c r="AG12" t="n">
        <v>1</v>
      </c>
      <c r="AH12" t="inlineStr">
        <is>
          <t>Privat</t>
        </is>
      </c>
      <c r="AI12" t="inlineStr">
        <is>
          <t>Dag Gran: Gr 1 (prio 1)</t>
        </is>
      </c>
      <c r="AJ12" t="n">
        <v/>
      </c>
    </row>
    <row r="13" ht="15" customHeight="1">
      <c r="A13" t="inlineStr">
        <is>
          <t>Maskaure Uddnäs avvanm, 4,6 ha</t>
        </is>
      </c>
      <c r="B13" t="inlineStr">
        <is>
          <t>inventeringsområde</t>
        </is>
      </c>
      <c r="D13" s="1" t="n">
        <v>46223</v>
      </c>
      <c r="E13" s="1" t="n">
        <v>46226</v>
      </c>
      <c r="F13" t="inlineStr">
        <is>
          <t>Norrbottens län</t>
        </is>
      </c>
      <c r="G13" t="inlineStr">
        <is>
          <t>Arjeplog</t>
        </is>
      </c>
      <c r="I13" t="n">
        <v>4.6</v>
      </c>
      <c r="J13" t="n">
        <v>3</v>
      </c>
      <c r="K13" t="n">
        <v>3</v>
      </c>
      <c r="L13" t="n">
        <v>17</v>
      </c>
      <c r="M13" t="n">
        <v>5</v>
      </c>
      <c r="N13" t="n">
        <v>0</v>
      </c>
      <c r="O13" t="n">
        <v>0</v>
      </c>
      <c r="P13" t="n">
        <v>0</v>
      </c>
      <c r="Q13" t="n">
        <v>22</v>
      </c>
      <c r="R13" t="n">
        <v>5</v>
      </c>
      <c r="S13" t="n">
        <v>26</v>
      </c>
      <c r="T13" t="n">
        <v>106</v>
      </c>
      <c r="U13" t="n">
        <v>106</v>
      </c>
      <c r="V13"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13">
        <f>HYPERLINK("https://klasma.github.io/Logging_FORSKNINGSRESAN_2026_ARJEPLOG/artfynd/Maskaure Uddnäs avvanm, 4,6 ha artfynd.xlsx", "Maskaure Uddnäs avvanm, 4,6 ha")</f>
        <v/>
      </c>
      <c r="X13">
        <f>HYPERLINK("https://klasma.github.io/Logging_FORSKNINGSRESAN_2026_ARJEPLOG/kartor/Maskaure Uddnäs avvanm, 4,6 ha karta.png", "Maskaure Uddnäs avvanm, 4,6 ha")</f>
        <v/>
      </c>
      <c r="Y13">
        <f>HYPERLINK("https://klasma.github.io/Logging_FORSKNINGSRESAN_2026_ARJEPLOG/kartor_geotiff/Maskaure Uddnäs avvanm, 4,6 ha georefererad karta.tif", "Maskaure Uddnäs avvanm, 4,6 ha")</f>
        <v/>
      </c>
      <c r="AA13">
        <f>HYPERLINK("https://klasma.github.io/Logging_FORSKNINGSRESAN_2026_ARJEPLOG/klagomål/Maskaure Uddnäs avvanm, 4,6 ha FSC-klagomål.docx", "Maskaure Uddnäs avvanm, 4,6 ha")</f>
        <v/>
      </c>
      <c r="AB13">
        <f>HYPERLINK("https://klasma.github.io/Logging_FORSKNINGSRESAN_2026_ARJEPLOG/klagomålsmail/Maskaure Uddnäs avvanm, 4,6 ha FSC-klagomål mail.docx", "Maskaure Uddnäs avvanm, 4,6 ha")</f>
        <v/>
      </c>
      <c r="AC13">
        <f>HYPERLINK("https://klasma.github.io/Logging_FORSKNINGSRESAN_2026_ARJEPLOG/tillsyn/Maskaure Uddnäs avvanm, 4,6 ha tillsynsbegäran.docx", "Maskaure Uddnäs avvanm, 4,6 ha")</f>
        <v/>
      </c>
      <c r="AD13">
        <f>HYPERLINK("https://klasma.github.io/Logging_FORSKNINGSRESAN_2026_ARJEPLOG/tillsynsmail/Maskaure Uddnäs avvanm, 4,6 ha tillsynsbegäran mail.docx", "Maskaure Uddnäs avvanm, 4,6 ha")</f>
        <v/>
      </c>
      <c r="AE13">
        <f>HYPERLINK("https://klasma.github.io/Logging_FORSKNINGSRESAN_2026_ARJEPLOG/fåglar/Maskaure Uddnäs avvanm, 4,6 ha prioriterade fågelarter.docx", "Maskaure Uddnäs avvanm, 4,6 ha")</f>
        <v/>
      </c>
      <c r="AF13" t="inlineStr">
        <is>
          <t>Barrblandskog med äldre gran, nyckelbiotop, avvanm</t>
        </is>
      </c>
      <c r="AG13" t="n">
        <v>1</v>
      </c>
      <c r="AH13" t="inlineStr">
        <is>
          <t>Privat</t>
        </is>
      </c>
      <c r="AI13" t="inlineStr">
        <is>
          <t>Ons: Gr 3</t>
        </is>
      </c>
      <c r="AJ13" t="inlineStr">
        <is>
          <t>A 37442-2025</t>
        </is>
      </c>
    </row>
    <row r="14" ht="15" customHeight="1">
      <c r="A14" t="inlineStr">
        <is>
          <t>Västra Kikkejaure Rengärdet avvanm</t>
        </is>
      </c>
      <c r="B14" t="inlineStr">
        <is>
          <t>inventeringsområde</t>
        </is>
      </c>
      <c r="D14" s="1" t="n">
        <v>46223</v>
      </c>
      <c r="E14" s="1" t="n">
        <v>46226</v>
      </c>
      <c r="F14" t="inlineStr">
        <is>
          <t>Norrbottens län</t>
        </is>
      </c>
      <c r="G14" t="inlineStr">
        <is>
          <t>Arjeplog</t>
        </is>
      </c>
      <c r="H14" t="inlineStr">
        <is>
          <t>Allmännings- och besparingsskogar</t>
        </is>
      </c>
      <c r="I14" t="n">
        <v>10.4</v>
      </c>
      <c r="J14" t="n">
        <v>5</v>
      </c>
      <c r="K14" t="n">
        <v>3</v>
      </c>
      <c r="L14" t="n">
        <v>18</v>
      </c>
      <c r="M14" t="n">
        <v>3</v>
      </c>
      <c r="N14" t="n">
        <v>0</v>
      </c>
      <c r="O14" t="n">
        <v>0</v>
      </c>
      <c r="P14" t="n">
        <v>0</v>
      </c>
      <c r="Q14" t="n">
        <v>21</v>
      </c>
      <c r="R14" t="n">
        <v>3</v>
      </c>
      <c r="S14" t="n">
        <v>26</v>
      </c>
      <c r="T14" t="n">
        <v>95</v>
      </c>
      <c r="U14" t="n">
        <v>61</v>
      </c>
      <c r="V14"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4">
        <f>HYPERLINK("https://klasma.github.io/Logging_FORSKNINGSRESAN_2026_ARJEPLOG/artfynd/Västra Kikkejaure Rengärdet avvanm artfynd.xlsx", "Västra Kikkejaure Rengärdet avvanm")</f>
        <v/>
      </c>
      <c r="X14">
        <f>HYPERLINK("https://klasma.github.io/Logging_FORSKNINGSRESAN_2026_ARJEPLOG/kartor/Västra Kikkejaure Rengärdet avvanm karta.png", "Västra Kikkejaure Rengärdet avvanm")</f>
        <v/>
      </c>
      <c r="Y14">
        <f>HYPERLINK("https://klasma.github.io/Logging_FORSKNINGSRESAN_2026_ARJEPLOG/kartor_geotiff/Västra Kikkejaure Rengärdet avvanm georefererad karta.tif", "Västra Kikkejaure Rengärdet avvanm")</f>
        <v/>
      </c>
      <c r="AA14">
        <f>HYPERLINK("https://klasma.github.io/Logging_FORSKNINGSRESAN_2026_ARJEPLOG/klagomål/Västra Kikkejaure Rengärdet avvanm FSC-klagomål.docx", "Västra Kikkejaure Rengärdet avvanm")</f>
        <v/>
      </c>
      <c r="AB14">
        <f>HYPERLINK("https://klasma.github.io/Logging_FORSKNINGSRESAN_2026_ARJEPLOG/klagomålsmail/Västra Kikkejaure Rengärdet avvanm FSC-klagomål mail.docx", "Västra Kikkejaure Rengärdet avvanm")</f>
        <v/>
      </c>
      <c r="AC14">
        <f>HYPERLINK("https://klasma.github.io/Logging_FORSKNINGSRESAN_2026_ARJEPLOG/tillsyn/Västra Kikkejaure Rengärdet avvanm tillsynsbegäran.docx", "Västra Kikkejaure Rengärdet avvanm")</f>
        <v/>
      </c>
      <c r="AD14">
        <f>HYPERLINK("https://klasma.github.io/Logging_FORSKNINGSRESAN_2026_ARJEPLOG/tillsynsmail/Västra Kikkejaure Rengärdet avvanm tillsynsbegäran mail.docx", "Västra Kikkejaure Rengärdet avvanm")</f>
        <v/>
      </c>
      <c r="AE14">
        <f>HYPERLINK("https://klasma.github.io/Logging_FORSKNINGSRESAN_2026_ARJEPLOG/fåglar/Västra Kikkejaure Rengärdet avvanm prioriterade fågelarter.docx", "Västra Kikkejaure Rengärdet avvanm")</f>
        <v/>
      </c>
      <c r="AF14" t="inlineStr">
        <is>
          <t>Delvis inventerad av Fältbiologerna, komplettera! avvanm</t>
        </is>
      </c>
      <c r="AG14" t="n">
        <v>1</v>
      </c>
      <c r="AH14" t="inlineStr">
        <is>
          <t>Allmännings- och besparingsskogar</t>
        </is>
      </c>
      <c r="AI14" t="inlineStr">
        <is>
          <t>Tis: Gr 2 (prio 2)</t>
        </is>
      </c>
      <c r="AJ14" t="inlineStr">
        <is>
          <t>A 26954-2022</t>
        </is>
      </c>
    </row>
    <row r="15" ht="15" customHeight="1">
      <c r="A15" t="inlineStr">
        <is>
          <t>Bergmyrarna avvanm</t>
        </is>
      </c>
      <c r="B15" t="inlineStr">
        <is>
          <t>inventeringsområde</t>
        </is>
      </c>
      <c r="D15" s="1" t="n">
        <v>46223</v>
      </c>
      <c r="E15" s="1" t="n">
        <v>46226</v>
      </c>
      <c r="F15" t="inlineStr">
        <is>
          <t>Norrbottens län</t>
        </is>
      </c>
      <c r="G15" t="inlineStr">
        <is>
          <t>Arjeplog</t>
        </is>
      </c>
      <c r="H15" t="inlineStr">
        <is>
          <t>Allmännings- och besparingsskogar</t>
        </is>
      </c>
      <c r="I15" t="n">
        <v>17.7</v>
      </c>
      <c r="J15" t="n">
        <v>6</v>
      </c>
      <c r="K15" t="n">
        <v>7</v>
      </c>
      <c r="L15" t="n">
        <v>13</v>
      </c>
      <c r="M15" t="n">
        <v>2</v>
      </c>
      <c r="N15" t="n">
        <v>0</v>
      </c>
      <c r="O15" t="n">
        <v>0</v>
      </c>
      <c r="P15" t="n">
        <v>0</v>
      </c>
      <c r="Q15" t="n">
        <v>15</v>
      </c>
      <c r="R15" t="n">
        <v>2</v>
      </c>
      <c r="S15" t="n">
        <v>24</v>
      </c>
      <c r="T15" t="n">
        <v>118</v>
      </c>
      <c r="U15" t="n">
        <v>118</v>
      </c>
      <c r="V15" s="2" t="inlineStr">
        <is>
          <t>Garnlav
Gränsticka
Blanksvart spiklav
Dvärgbägarlav
Gammelgransskål
Knottrig blåslav
Rödbrun blekspik
Stjärntagging
Talltita
Tretåig hackspett
Ullticka
Vedskivlav
Violmussling
Vitgrynig nållav
Älg
Bronshjon
Bårdlav
Korallrot
Luddlav
Spindelblomster
Stuplav
Vågbandad barkbock
Spillkråka
Tjäder</t>
        </is>
      </c>
      <c r="W15">
        <f>HYPERLINK("https://klasma.github.io/Logging_FORSKNINGSRESAN_2026_ARJEPLOG/artfynd/Bergmyrarna avvanm artfynd.xlsx", "Bergmyrarna avvanm")</f>
        <v/>
      </c>
      <c r="X15">
        <f>HYPERLINK("https://klasma.github.io/Logging_FORSKNINGSRESAN_2026_ARJEPLOG/kartor/Bergmyrarna avvanm karta.png", "Bergmyrarna avvanm")</f>
        <v/>
      </c>
      <c r="Y15">
        <f>HYPERLINK("https://klasma.github.io/Logging_FORSKNINGSRESAN_2026_ARJEPLOG/kartor_geotiff/Bergmyrarna avvanm georefererad karta.tif", "Bergmyrarna avvanm")</f>
        <v/>
      </c>
      <c r="AA15">
        <f>HYPERLINK("https://klasma.github.io/Logging_FORSKNINGSRESAN_2026_ARJEPLOG/klagomål/Bergmyrarna avvanm FSC-klagomål.docx", "Bergmyrarna avvanm")</f>
        <v/>
      </c>
      <c r="AB15">
        <f>HYPERLINK("https://klasma.github.io/Logging_FORSKNINGSRESAN_2026_ARJEPLOG/klagomålsmail/Bergmyrarna avvanm FSC-klagomål mail.docx", "Bergmyrarna avvanm")</f>
        <v/>
      </c>
      <c r="AC15">
        <f>HYPERLINK("https://klasma.github.io/Logging_FORSKNINGSRESAN_2026_ARJEPLOG/tillsyn/Bergmyrarna avvanm tillsynsbegäran.docx", "Bergmyrarna avvanm")</f>
        <v/>
      </c>
      <c r="AD15">
        <f>HYPERLINK("https://klasma.github.io/Logging_FORSKNINGSRESAN_2026_ARJEPLOG/tillsynsmail/Bergmyrarna avvanm tillsynsbegäran mail.docx", "Bergmyrarna avvanm")</f>
        <v/>
      </c>
      <c r="AE15">
        <f>HYPERLINK("https://klasma.github.io/Logging_FORSKNINGSRESAN_2026_ARJEPLOG/fåglar/Bergmyrarna avvanm prioriterade fågelarter.docx", "Bergmyrarna avvanm")</f>
        <v/>
      </c>
      <c r="AF15" t="inlineStr">
        <is>
          <t>155 år bevskikt, bör inventeras!!</t>
        </is>
      </c>
      <c r="AG15" t="n">
        <v>10</v>
      </c>
      <c r="AH15" t="inlineStr">
        <is>
          <t>Allmännings- och besparingsskogar</t>
        </is>
      </c>
      <c r="AI15" t="n">
        <v/>
      </c>
      <c r="AJ15" t="n">
        <v/>
      </c>
    </row>
    <row r="16" ht="15" customHeight="1">
      <c r="A16" t="inlineStr">
        <is>
          <t>Maskaure Renskötartjärnen, 8,3 ha</t>
        </is>
      </c>
      <c r="B16" t="inlineStr">
        <is>
          <t>inventeringsområde</t>
        </is>
      </c>
      <c r="D16" s="1" t="n">
        <v>46223</v>
      </c>
      <c r="E16" s="1" t="n">
        <v>46226</v>
      </c>
      <c r="F16" t="inlineStr">
        <is>
          <t>Norrbottens län</t>
        </is>
      </c>
      <c r="G16" t="inlineStr">
        <is>
          <t>Arjeplog</t>
        </is>
      </c>
      <c r="H16" t="inlineStr">
        <is>
          <t>Sveaskog</t>
        </is>
      </c>
      <c r="I16" t="n">
        <v>8.300000000000001</v>
      </c>
      <c r="J16" t="n">
        <v>2</v>
      </c>
      <c r="K16" t="n">
        <v>2</v>
      </c>
      <c r="L16" t="n">
        <v>12</v>
      </c>
      <c r="M16" t="n">
        <v>8</v>
      </c>
      <c r="N16" t="n">
        <v>0</v>
      </c>
      <c r="O16" t="n">
        <v>1</v>
      </c>
      <c r="P16" t="n">
        <v>0</v>
      </c>
      <c r="Q16" t="n">
        <v>21</v>
      </c>
      <c r="R16" t="n">
        <v>9</v>
      </c>
      <c r="S16" t="n">
        <v>24</v>
      </c>
      <c r="T16" t="n">
        <v>80</v>
      </c>
      <c r="U16" t="n">
        <v>48</v>
      </c>
      <c r="V16"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6">
        <f>HYPERLINK("https://klasma.github.io/Logging_FORSKNINGSRESAN_2026_ARJEPLOG/artfynd/Maskaure Renskötartjärnen, 8,3 ha artfynd.xlsx", "Maskaure Renskötartjärnen, 8,3 ha")</f>
        <v/>
      </c>
      <c r="X16">
        <f>HYPERLINK("https://klasma.github.io/Logging_FORSKNINGSRESAN_2026_ARJEPLOG/kartor/Maskaure Renskötartjärnen, 8,3 ha karta.png", "Maskaure Renskötartjärnen, 8,3 ha")</f>
        <v/>
      </c>
      <c r="Y16">
        <f>HYPERLINK("https://klasma.github.io/Logging_FORSKNINGSRESAN_2026_ARJEPLOG/kartor_geotiff/Maskaure Renskötartjärnen, 8,3 ha georefererad karta.tif", "Maskaure Renskötartjärnen, 8,3 ha")</f>
        <v/>
      </c>
      <c r="AA16">
        <f>HYPERLINK("https://klasma.github.io/Logging_FORSKNINGSRESAN_2026_ARJEPLOG/klagomål/Maskaure Renskötartjärnen, 8,3 ha FSC-klagomål.docx", "Maskaure Renskötartjärnen, 8,3 ha")</f>
        <v/>
      </c>
      <c r="AB16">
        <f>HYPERLINK("https://klasma.github.io/Logging_FORSKNINGSRESAN_2026_ARJEPLOG/klagomålsmail/Maskaure Renskötartjärnen, 8,3 ha FSC-klagomål mail.docx", "Maskaure Renskötartjärnen, 8,3 ha")</f>
        <v/>
      </c>
      <c r="AC16">
        <f>HYPERLINK("https://klasma.github.io/Logging_FORSKNINGSRESAN_2026_ARJEPLOG/tillsyn/Maskaure Renskötartjärnen, 8,3 ha tillsynsbegäran.docx", "Maskaure Renskötartjärnen, 8,3 ha")</f>
        <v/>
      </c>
      <c r="AD16">
        <f>HYPERLINK("https://klasma.github.io/Logging_FORSKNINGSRESAN_2026_ARJEPLOG/tillsynsmail/Maskaure Renskötartjärnen, 8,3 ha tillsynsbegäran mail.docx", "Maskaure Renskötartjärnen, 8,3 ha")</f>
        <v/>
      </c>
      <c r="AF16" t="inlineStr">
        <is>
          <t>k-skog, ej rekad</t>
        </is>
      </c>
      <c r="AG16" t="n">
        <v>1</v>
      </c>
      <c r="AH16" t="inlineStr">
        <is>
          <t>Sveaskog</t>
        </is>
      </c>
      <c r="AI16" t="inlineStr">
        <is>
          <t>Ons: Gr 3</t>
        </is>
      </c>
      <c r="AJ16" t="n">
        <v/>
      </c>
    </row>
    <row r="17" ht="15" customHeight="1">
      <c r="A17" t="inlineStr">
        <is>
          <t>Njuöniesvárrie NV avvanm</t>
        </is>
      </c>
      <c r="B17" t="inlineStr">
        <is>
          <t>inventeringsområde</t>
        </is>
      </c>
      <c r="D17" s="1" t="n">
        <v>46223</v>
      </c>
      <c r="E17" s="1" t="n">
        <v>46226</v>
      </c>
      <c r="F17" t="inlineStr">
        <is>
          <t>Norrbottens län</t>
        </is>
      </c>
      <c r="G17" t="inlineStr">
        <is>
          <t>Arjeplog</t>
        </is>
      </c>
      <c r="H17" t="inlineStr">
        <is>
          <t>Allmännings- och besparingsskogar</t>
        </is>
      </c>
      <c r="I17" t="n">
        <v>39.8</v>
      </c>
      <c r="J17" t="n">
        <v>4</v>
      </c>
      <c r="K17" t="n">
        <v>3</v>
      </c>
      <c r="L17" t="n">
        <v>13</v>
      </c>
      <c r="M17" t="n">
        <v>5</v>
      </c>
      <c r="N17" t="n">
        <v>1</v>
      </c>
      <c r="O17" t="n">
        <v>0</v>
      </c>
      <c r="P17" t="n">
        <v>0</v>
      </c>
      <c r="Q17" t="n">
        <v>19</v>
      </c>
      <c r="R17" t="n">
        <v>6</v>
      </c>
      <c r="S17" t="n">
        <v>23</v>
      </c>
      <c r="T17" t="n">
        <v>73</v>
      </c>
      <c r="U17" t="n">
        <v>73</v>
      </c>
      <c r="V1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7">
        <f>HYPERLINK("https://klasma.github.io/Logging_FORSKNINGSRESAN_2026_ARJEPLOG/artfynd/Njuöniesvárrie NV avvanm artfynd.xlsx", "Njuöniesvárrie NV avvanm")</f>
        <v/>
      </c>
      <c r="X17">
        <f>HYPERLINK("https://klasma.github.io/Logging_FORSKNINGSRESAN_2026_ARJEPLOG/kartor/Njuöniesvárrie NV avvanm karta.png", "Njuöniesvárrie NV avvanm")</f>
        <v/>
      </c>
      <c r="Y17">
        <f>HYPERLINK("https://klasma.github.io/Logging_FORSKNINGSRESAN_2026_ARJEPLOG/kartor_geotiff/Njuöniesvárrie NV avvanm georefererad karta.tif", "Njuöniesvárrie NV avvanm")</f>
        <v/>
      </c>
      <c r="Z17">
        <f>HYPERLINK("https://klasma.github.io/Logging_FORSKNINGSRESAN_2026_ARJEPLOG/knärot/Njuöniesvárrie NV avvanm karta knärot.png", "Njuöniesvárrie NV avvanm")</f>
        <v/>
      </c>
      <c r="AA17">
        <f>HYPERLINK("https://klasma.github.io/Logging_FORSKNINGSRESAN_2026_ARJEPLOG/klagomål/Njuöniesvárrie NV avvanm FSC-klagomål.docx", "Njuöniesvárrie NV avvanm")</f>
        <v/>
      </c>
      <c r="AB17">
        <f>HYPERLINK("https://klasma.github.io/Logging_FORSKNINGSRESAN_2026_ARJEPLOG/klagomålsmail/Njuöniesvárrie NV avvanm FSC-klagomål mail.docx", "Njuöniesvárrie NV avvanm")</f>
        <v/>
      </c>
      <c r="AC17">
        <f>HYPERLINK("https://klasma.github.io/Logging_FORSKNINGSRESAN_2026_ARJEPLOG/tillsyn/Njuöniesvárrie NV avvanm tillsynsbegäran.docx", "Njuöniesvárrie NV avvanm")</f>
        <v/>
      </c>
      <c r="AD17">
        <f>HYPERLINK("https://klasma.github.io/Logging_FORSKNINGSRESAN_2026_ARJEPLOG/tillsynsmail/Njuöniesvárrie NV avvanm tillsynsbegäran mail.docx", "Njuöniesvárrie NV avvanm")</f>
        <v/>
      </c>
      <c r="AE17">
        <f>HYPERLINK("https://klasma.github.io/Logging_FORSKNINGSRESAN_2026_ARJEPLOG/fåglar/Njuöniesvárrie NV avvanm prioriterade fågelarter.docx", "Njuöniesvárrie NV avvanm")</f>
        <v/>
      </c>
      <c r="AF17" t="inlineStr">
        <is>
          <t>Barrblandskog, eventuellt bom!! avvanm</t>
        </is>
      </c>
      <c r="AG17" t="n">
        <v>1</v>
      </c>
      <c r="AH17" t="inlineStr">
        <is>
          <t>Allmännings- och besparingsskogar</t>
        </is>
      </c>
      <c r="AI17" t="n">
        <v/>
      </c>
      <c r="AJ17" t="n">
        <v/>
      </c>
    </row>
    <row r="18" ht="15" customHeight="1">
      <c r="A18" t="inlineStr">
        <is>
          <t>Maskaure Långmyran SV, 6,8 ha</t>
        </is>
      </c>
      <c r="B18" t="inlineStr">
        <is>
          <t>inventeringsområde</t>
        </is>
      </c>
      <c r="D18" s="1" t="n">
        <v>46223</v>
      </c>
      <c r="E18" s="1" t="n">
        <v>46226</v>
      </c>
      <c r="F18" t="inlineStr">
        <is>
          <t>Norrbottens län</t>
        </is>
      </c>
      <c r="G18" t="inlineStr">
        <is>
          <t>Arjeplog</t>
        </is>
      </c>
      <c r="H18" t="inlineStr">
        <is>
          <t>Sveaskog</t>
        </is>
      </c>
      <c r="I18" t="n">
        <v>6.9</v>
      </c>
      <c r="J18" t="n">
        <v>3</v>
      </c>
      <c r="K18" t="n">
        <v>1</v>
      </c>
      <c r="L18" t="n">
        <v>15</v>
      </c>
      <c r="M18" t="n">
        <v>4</v>
      </c>
      <c r="N18" t="n">
        <v>0</v>
      </c>
      <c r="O18" t="n">
        <v>0</v>
      </c>
      <c r="P18" t="n">
        <v>0</v>
      </c>
      <c r="Q18" t="n">
        <v>19</v>
      </c>
      <c r="R18" t="n">
        <v>4</v>
      </c>
      <c r="S18" t="n">
        <v>23</v>
      </c>
      <c r="T18" t="n">
        <v>58</v>
      </c>
      <c r="U18" t="n">
        <v>50</v>
      </c>
      <c r="V18"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Spillkråka
Tjäder</t>
        </is>
      </c>
      <c r="W18">
        <f>HYPERLINK("https://klasma.github.io/Logging_FORSKNINGSRESAN_2026_ARJEPLOG/artfynd/Maskaure Långmyran SV, 6,8 ha artfynd.xlsx", "Maskaure Långmyran SV, 6,8 ha")</f>
        <v/>
      </c>
      <c r="X18">
        <f>HYPERLINK("https://klasma.github.io/Logging_FORSKNINGSRESAN_2026_ARJEPLOG/kartor/Maskaure Långmyran SV, 6,8 ha karta.png", "Maskaure Långmyran SV, 6,8 ha")</f>
        <v/>
      </c>
      <c r="Y18">
        <f>HYPERLINK("https://klasma.github.io/Logging_FORSKNINGSRESAN_2026_ARJEPLOG/kartor_geotiff/Maskaure Långmyran SV, 6,8 ha georefererad karta.tif", "Maskaure Långmyran SV, 6,8 ha")</f>
        <v/>
      </c>
      <c r="AA18">
        <f>HYPERLINK("https://klasma.github.io/Logging_FORSKNINGSRESAN_2026_ARJEPLOG/klagomål/Maskaure Långmyran SV, 6,8 ha FSC-klagomål.docx", "Maskaure Långmyran SV, 6,8 ha")</f>
        <v/>
      </c>
      <c r="AB18">
        <f>HYPERLINK("https://klasma.github.io/Logging_FORSKNINGSRESAN_2026_ARJEPLOG/klagomålsmail/Maskaure Långmyran SV, 6,8 ha FSC-klagomål mail.docx", "Maskaure Långmyran SV, 6,8 ha")</f>
        <v/>
      </c>
      <c r="AC18">
        <f>HYPERLINK("https://klasma.github.io/Logging_FORSKNINGSRESAN_2026_ARJEPLOG/tillsyn/Maskaure Långmyran SV, 6,8 ha tillsynsbegäran.docx", "Maskaure Långmyran SV, 6,8 ha")</f>
        <v/>
      </c>
      <c r="AD18">
        <f>HYPERLINK("https://klasma.github.io/Logging_FORSKNINGSRESAN_2026_ARJEPLOG/tillsynsmail/Maskaure Långmyran SV, 6,8 ha tillsynsbegäran mail.docx", "Maskaure Långmyran SV, 6,8 ha")</f>
        <v/>
      </c>
      <c r="AE18">
        <f>HYPERLINK("https://klasma.github.io/Logging_FORSKNINGSRESAN_2026_ARJEPLOG/fåglar/Maskaure Långmyran SV, 6,8 ha prioriterade fågelarter.docx", "Maskaure Långmyran SV, 6,8 ha")</f>
        <v/>
      </c>
      <c r="AF18" t="n">
        <v/>
      </c>
      <c r="AG18" t="n">
        <v>1</v>
      </c>
      <c r="AH18" t="inlineStr">
        <is>
          <t>Sveaskog</t>
        </is>
      </c>
      <c r="AI18" t="inlineStr">
        <is>
          <t>Ons: Gr 3</t>
        </is>
      </c>
      <c r="AJ18" t="n">
        <v/>
      </c>
    </row>
    <row r="19" ht="15" customHeight="1">
      <c r="A19" t="inlineStr">
        <is>
          <t>Maskaure Mullholm avvanm, 39,6 ha</t>
        </is>
      </c>
      <c r="B19" t="inlineStr">
        <is>
          <t>inventeringsområde</t>
        </is>
      </c>
      <c r="D19" s="1" t="n">
        <v>46223</v>
      </c>
      <c r="E19" s="1" t="n">
        <v>46226</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46226</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46226</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46226</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46226</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46226</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46226</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46226</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46226</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2026-07-23T19:23:43Z</dcterms:created>
  <dcterms:modified xmlns:dcterms="http://purl.org/dc/terms/" xmlns:xsi="http://www.w3.org/2001/XMLSchema-instance" xsi:type="dcterms:W3CDTF">2026-07-23T19:23:43Z</dcterms:modified>
</cp:coreProperties>
</file>