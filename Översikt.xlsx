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46230</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720</v>
      </c>
      <c r="U3" t="n">
        <v>684</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535</v>
      </c>
      <c r="U4" t="n">
        <v>521</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Gålggåmisvárre</t>
        </is>
      </c>
      <c r="B6" t="inlineStr">
        <is>
          <t>inventeringsområde</t>
        </is>
      </c>
      <c r="D6" s="1" t="n">
        <v>46223</v>
      </c>
      <c r="E6" s="1" t="n">
        <v>46230</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252</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HYPERLINK("https://klasma.github.io/Logging_FORSKNINGSRESAN_2026_ARJEPLOG/artfynd/Gålggåmisvárre artfynd.xlsx", "Gålggåmisvárre")</f>
        <v/>
      </c>
      <c r="X6">
        <f>HYPERLINK("https://klasma.github.io/Logging_FORSKNINGSRESAN_2026_ARJEPLOG/kartor/Gålggåmisvárre karta.png", "Gålggåmisvárre")</f>
        <v/>
      </c>
      <c r="Y6">
        <f>HYPERLINK("https://klasma.github.io/Logging_FORSKNINGSRESAN_2026_ARJEPLOG/kartor_geotiff/Gålggåmisvárre georefererad karta.tif", "Gålggåmisvárre")</f>
        <v/>
      </c>
      <c r="AA6">
        <f>HYPERLINK("https://klasma.github.io/Logging_FORSKNINGSRESAN_2026_ARJEPLOG/klagomål/Gålggåmisvárre FSC-klagomål.docx", "Gålggåmisvárre")</f>
        <v/>
      </c>
      <c r="AB6">
        <f>HYPERLINK("https://klasma.github.io/Logging_FORSKNINGSRESAN_2026_ARJEPLOG/klagomålsmail/Gålggåmisvárre FSC-klagomål mail.docx", "Gålggåmisvárre")</f>
        <v/>
      </c>
      <c r="AC6">
        <f>HYPERLINK("https://klasma.github.io/Logging_FORSKNINGSRESAN_2026_ARJEPLOG/tillsyn/Gålggåmisvárre tillsynsbegäran.docx", "Gålggåmisvárre")</f>
        <v/>
      </c>
      <c r="AD6">
        <f>HYPERLINK("https://klasma.github.io/Logging_FORSKNINGSRESAN_2026_ARJEPLOG/tillsynsmail/Gålggåmisvárre tillsynsbegäran mail.docx", "Gålggåmisvárre")</f>
        <v/>
      </c>
      <c r="AE6">
        <f>HYPERLINK("https://klasma.github.io/Logging_FORSKNINGSRESAN_2026_ARJEPLOG/fåglar/Gålggåmisvárre prioriterade fågelarter.docx", "Gålggåmisvárre")</f>
        <v/>
      </c>
      <c r="AF6" t="inlineStr">
        <is>
          <t>delvis inventerad, Naturskyddsföreningen skickat in FSC-klagomål 2024, avvanm tbkdragen</t>
        </is>
      </c>
      <c r="AG6" t="n">
        <v>2</v>
      </c>
      <c r="AH6" t="inlineStr">
        <is>
          <t>?</t>
        </is>
      </c>
      <c r="AI6" t="inlineStr">
        <is>
          <t>Tis: Gr 1 (prio1 )</t>
        </is>
      </c>
      <c r="AJ6" t="n">
        <v/>
      </c>
    </row>
    <row r="7" ht="15" customHeight="1">
      <c r="A7" t="inlineStr">
        <is>
          <t>Saravallen avvanm</t>
        </is>
      </c>
      <c r="B7" t="inlineStr">
        <is>
          <t>inventeringsområde</t>
        </is>
      </c>
      <c r="D7" s="1" t="n">
        <v>46223</v>
      </c>
      <c r="E7" s="1" t="n">
        <v>46230</v>
      </c>
      <c r="F7" t="inlineStr">
        <is>
          <t>Norrbottens län</t>
        </is>
      </c>
      <c r="G7" t="inlineStr">
        <is>
          <t>Arjeplog</t>
        </is>
      </c>
      <c r="H7" t="inlineStr">
        <is>
          <t>Allmännings- och besparingsskogar</t>
        </is>
      </c>
      <c r="I7" t="n">
        <v>70.40000000000001</v>
      </c>
      <c r="J7" t="n">
        <v>8</v>
      </c>
      <c r="K7" t="n">
        <v>10</v>
      </c>
      <c r="L7" t="n">
        <v>25</v>
      </c>
      <c r="M7" t="n">
        <v>6</v>
      </c>
      <c r="N7" t="n">
        <v>0</v>
      </c>
      <c r="O7" t="n">
        <v>0</v>
      </c>
      <c r="P7" t="n">
        <v>0</v>
      </c>
      <c r="Q7" t="n">
        <v>31</v>
      </c>
      <c r="R7" t="n">
        <v>6</v>
      </c>
      <c r="S7" t="n">
        <v>43</v>
      </c>
      <c r="T7" t="n">
        <v>306</v>
      </c>
      <c r="U7" t="n">
        <v>306</v>
      </c>
      <c r="V7"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7">
        <f>HYPERLINK("https://klasma.github.io/Logging_FORSKNINGSRESAN_2026_ARJEPLOG/artfynd/Saravallen avvanm artfynd.xlsx", "Saravallen avvanm")</f>
        <v/>
      </c>
      <c r="X7">
        <f>HYPERLINK("https://klasma.github.io/Logging_FORSKNINGSRESAN_2026_ARJEPLOG/kartor/Saravallen avvanm karta.png", "Saravallen avvanm")</f>
        <v/>
      </c>
      <c r="Y7">
        <f>HYPERLINK("https://klasma.github.io/Logging_FORSKNINGSRESAN_2026_ARJEPLOG/kartor_geotiff/Saravallen avvanm georefererad karta.tif", "Saravallen avvanm")</f>
        <v/>
      </c>
      <c r="Z7">
        <f>HYPERLINK("https://klasma.github.io/Logging_FORSKNINGSRESAN_2026_ARJEPLOG/knärot/Saravallen avvanm karta knärot.png", "Saravallen avvanm")</f>
        <v/>
      </c>
      <c r="AA7">
        <f>HYPERLINK("https://klasma.github.io/Logging_FORSKNINGSRESAN_2026_ARJEPLOG/klagomål/Saravallen avvanm FSC-klagomål.docx", "Saravallen avvanm")</f>
        <v/>
      </c>
      <c r="AB7">
        <f>HYPERLINK("https://klasma.github.io/Logging_FORSKNINGSRESAN_2026_ARJEPLOG/klagomålsmail/Saravallen avvanm FSC-klagomål mail.docx", "Saravallen avvanm")</f>
        <v/>
      </c>
      <c r="AC7">
        <f>HYPERLINK("https://klasma.github.io/Logging_FORSKNINGSRESAN_2026_ARJEPLOG/tillsyn/Saravallen avvanm tillsynsbegäran.docx", "Saravallen avvanm")</f>
        <v/>
      </c>
      <c r="AD7">
        <f>HYPERLINK("https://klasma.github.io/Logging_FORSKNINGSRESAN_2026_ARJEPLOG/tillsynsmail/Saravallen avvanm tillsynsbegäran mail.docx", "Saravallen avvanm")</f>
        <v/>
      </c>
      <c r="AE7">
        <f>HYPERLINK("https://klasma.github.io/Logging_FORSKNINGSRESAN_2026_ARJEPLOG/fåglar/Saravallen avvanm prioriterade fågelarter.docx", "Saravallen avvanm")</f>
        <v/>
      </c>
      <c r="AF7" t="inlineStr">
        <is>
          <t>Fin stavatallskog, eventuellt bom!! avvanm</t>
        </is>
      </c>
      <c r="AG7" t="n">
        <v>1</v>
      </c>
      <c r="AH7" t="inlineStr">
        <is>
          <t>Allmännings- och besparingsskogar</t>
        </is>
      </c>
      <c r="AI7" t="inlineStr">
        <is>
          <t>Tis: Gr 3</t>
        </is>
      </c>
      <c r="AJ7" t="inlineStr">
        <is>
          <t>A 30606-2025</t>
        </is>
      </c>
    </row>
    <row r="8" ht="15" customHeight="1">
      <c r="A8" t="inlineStr">
        <is>
          <t>Maskaure Maddagielas N, 68,3 ha</t>
        </is>
      </c>
      <c r="B8" t="inlineStr">
        <is>
          <t>inventeringsområde</t>
        </is>
      </c>
      <c r="D8" s="1" t="n">
        <v>46223</v>
      </c>
      <c r="E8" s="1" t="n">
        <v>46230</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201</v>
      </c>
      <c r="U8" t="n">
        <v>198</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46230</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46230</v>
      </c>
      <c r="F10" t="inlineStr">
        <is>
          <t>Norrbottens län</t>
        </is>
      </c>
      <c r="G10" t="inlineStr">
        <is>
          <t>Arjeplog</t>
        </is>
      </c>
      <c r="I10" t="n">
        <v>12.9</v>
      </c>
      <c r="J10" t="n">
        <v>8</v>
      </c>
      <c r="K10" t="n">
        <v>11</v>
      </c>
      <c r="L10" t="n">
        <v>15</v>
      </c>
      <c r="M10" t="n">
        <v>8</v>
      </c>
      <c r="N10" t="n">
        <v>0</v>
      </c>
      <c r="O10" t="n">
        <v>0</v>
      </c>
      <c r="P10" t="n">
        <v>0</v>
      </c>
      <c r="Q10" t="n">
        <v>23</v>
      </c>
      <c r="R10" t="n">
        <v>8</v>
      </c>
      <c r="S10" t="n">
        <v>36</v>
      </c>
      <c r="T10" t="n">
        <v>255</v>
      </c>
      <c r="U10" t="n">
        <v>255</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253</v>
      </c>
      <c r="U13" t="n">
        <v>253</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46230</v>
      </c>
      <c r="F25" t="inlineStr">
        <is>
          <t>Norrbottens län</t>
        </is>
      </c>
      <c r="G25" t="inlineStr">
        <is>
          <t>Arjeplog</t>
        </is>
      </c>
      <c r="H25" t="inlineStr">
        <is>
          <t>Sveaskog</t>
        </is>
      </c>
      <c r="I25" t="n">
        <v>26.3</v>
      </c>
      <c r="J25" t="n">
        <v>2</v>
      </c>
      <c r="K25" t="n">
        <v>1</v>
      </c>
      <c r="L25" t="n">
        <v>8</v>
      </c>
      <c r="M25" t="n">
        <v>1</v>
      </c>
      <c r="N25" t="n">
        <v>0</v>
      </c>
      <c r="O25" t="n">
        <v>0</v>
      </c>
      <c r="P25" t="n">
        <v>0</v>
      </c>
      <c r="Q25" t="n">
        <v>9</v>
      </c>
      <c r="R25" t="n">
        <v>1</v>
      </c>
      <c r="S25" t="n">
        <v>11</v>
      </c>
      <c r="T25" t="n">
        <v>55</v>
      </c>
      <c r="U25" t="n">
        <v>54</v>
      </c>
      <c r="V25" s="2" t="inlineStr">
        <is>
          <t>Garnlav
Gammelgransskål
Harticka
Knottrig blåslav
Lavskrika
Rosenticka
Talltagel
Tretåig hackspett
Ullticka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2026-07-27T21:55:11Z</dcterms:created>
  <dcterms:modified xmlns:dcterms="http://purl.org/dc/terms/" xmlns:xsi="http://www.w3.org/2001/XMLSchema-instance" xsi:type="dcterms:W3CDTF">2026-07-27T21:55:11Z</dcterms:modified>
</cp:coreProperties>
</file>