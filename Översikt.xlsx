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46225</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46225</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46225</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46225</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46225</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Maskaure Skornjamyran avvanm, 11,2 ha</t>
        </is>
      </c>
      <c r="B7" t="inlineStr">
        <is>
          <t>inventeringsområde</t>
        </is>
      </c>
      <c r="D7" s="1" t="n">
        <v>46223</v>
      </c>
      <c r="E7" s="1" t="n">
        <v>46225</v>
      </c>
      <c r="F7" t="inlineStr">
        <is>
          <t>Norrbottens län</t>
        </is>
      </c>
      <c r="G7" t="inlineStr">
        <is>
          <t>Arjeplog</t>
        </is>
      </c>
      <c r="I7" t="n">
        <v>11.2</v>
      </c>
      <c r="J7" t="n">
        <v>4</v>
      </c>
      <c r="K7" t="n">
        <v>6</v>
      </c>
      <c r="L7" t="n">
        <v>18</v>
      </c>
      <c r="M7" t="n">
        <v>7</v>
      </c>
      <c r="N7" t="n">
        <v>0</v>
      </c>
      <c r="O7" t="n">
        <v>0</v>
      </c>
      <c r="P7" t="n">
        <v>0</v>
      </c>
      <c r="Q7" t="n">
        <v>25</v>
      </c>
      <c r="R7" t="n">
        <v>7</v>
      </c>
      <c r="S7" t="n">
        <v>32</v>
      </c>
      <c r="T7" t="n">
        <v>131</v>
      </c>
      <c r="U7" t="n">
        <v>131</v>
      </c>
      <c r="V7" s="2" t="inlineStr">
        <is>
          <t>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HYPERLINK("https://klasma.github.io/Logging_FORSKNINGSRESAN_2026_ARJEPLOG/artfynd/Maskaure Skornjamyran avvanm, 11,2 ha artfynd.xlsx", "Maskaure Skornjamyran avvanm, 11,2 ha")</f>
        <v/>
      </c>
      <c r="X7">
        <f>HYPERLINK("https://klasma.github.io/Logging_FORSKNINGSRESAN_2026_ARJEPLOG/kartor/Maskaure Skornjamyran avvanm, 11,2 ha karta.png", "Maskaure Skornjamyran avvanm, 11,2 ha")</f>
        <v/>
      </c>
      <c r="Y7">
        <f>HYPERLINK("https://klasma.github.io/Logging_FORSKNINGSRESAN_2026_ARJEPLOG/kartor_geotiff/Maskaure Skornjamyran avvanm, 11,2 ha georefererad karta.tif", "Maskaure Skornjamyran avvanm, 11,2 ha")</f>
        <v/>
      </c>
      <c r="AA7">
        <f>HYPERLINK("https://klasma.github.io/Logging_FORSKNINGSRESAN_2026_ARJEPLOG/klagomål/Maskaure Skornjamyran avvanm, 11,2 ha FSC-klagomål.docx", "Maskaure Skornjamyran avvanm, 11,2 ha")</f>
        <v/>
      </c>
      <c r="AB7">
        <f>HYPERLINK("https://klasma.github.io/Logging_FORSKNINGSRESAN_2026_ARJEPLOG/klagomålsmail/Maskaure Skornjamyran avvanm, 11,2 ha FSC-klagomål mail.docx", "Maskaure Skornjamyran avvanm, 11,2 ha")</f>
        <v/>
      </c>
      <c r="AC7">
        <f>HYPERLINK("https://klasma.github.io/Logging_FORSKNINGSRESAN_2026_ARJEPLOG/tillsyn/Maskaure Skornjamyran avvanm, 11,2 ha tillsynsbegäran.docx", "Maskaure Skornjamyran avvanm, 11,2 ha")</f>
        <v/>
      </c>
      <c r="AD7">
        <f>HYPERLINK("https://klasma.github.io/Logging_FORSKNINGSRESAN_2026_ARJEPLOG/tillsynsmail/Maskaure Skornjamyran avvanm, 11,2 ha tillsynsbegäran mail.docx", "Maskaure Skornjamyran avvanm, 11,2 ha")</f>
        <v/>
      </c>
      <c r="AE7">
        <f>HYPERLINK("https://klasma.github.io/Logging_FORSKNINGSRESAN_2026_ARJEPLOG/fåglar/Maskaure Skornjamyran avvanm, 11,2 ha prioriterade fågelarter.docx", "Maskaure Skornjamyran avvanm, 11,2 ha")</f>
        <v/>
      </c>
      <c r="AF7" t="inlineStr">
        <is>
          <t>mest gran, nyckelbiotop, avvanm</t>
        </is>
      </c>
      <c r="AG7" t="n">
        <v>1</v>
      </c>
      <c r="AH7" t="inlineStr">
        <is>
          <t>Privat</t>
        </is>
      </c>
      <c r="AI7" t="inlineStr">
        <is>
          <t>Ons: Gr 3</t>
        </is>
      </c>
      <c r="AJ7" t="inlineStr">
        <is>
          <t>A 45924-2023</t>
        </is>
      </c>
    </row>
    <row r="8" ht="15" customHeight="1">
      <c r="A8" t="inlineStr">
        <is>
          <t>Västra Kikkejaure korsningen Långviken avvanm</t>
        </is>
      </c>
      <c r="B8" t="inlineStr">
        <is>
          <t>inventeringsområde</t>
        </is>
      </c>
      <c r="D8" s="1" t="n">
        <v>46223</v>
      </c>
      <c r="E8" s="1" t="n">
        <v>46225</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Maskaure Uddnäs avvanm, 4,6 ha</t>
        </is>
      </c>
      <c r="B9" t="inlineStr">
        <is>
          <t>inventeringsområde</t>
        </is>
      </c>
      <c r="D9" s="1" t="n">
        <v>46223</v>
      </c>
      <c r="E9" s="1" t="n">
        <v>46225</v>
      </c>
      <c r="F9" t="inlineStr">
        <is>
          <t>Norrbottens län</t>
        </is>
      </c>
      <c r="G9" t="inlineStr">
        <is>
          <t>Arjeplog</t>
        </is>
      </c>
      <c r="I9" t="n">
        <v>4.6</v>
      </c>
      <c r="J9" t="n">
        <v>4</v>
      </c>
      <c r="K9" t="n">
        <v>5</v>
      </c>
      <c r="L9" t="n">
        <v>18</v>
      </c>
      <c r="M9" t="n">
        <v>5</v>
      </c>
      <c r="N9" t="n">
        <v>0</v>
      </c>
      <c r="O9" t="n">
        <v>0</v>
      </c>
      <c r="P9" t="n">
        <v>0</v>
      </c>
      <c r="Q9" t="n">
        <v>23</v>
      </c>
      <c r="R9" t="n">
        <v>5</v>
      </c>
      <c r="S9" t="n">
        <v>29</v>
      </c>
      <c r="T9" t="n">
        <v>109</v>
      </c>
      <c r="U9" t="n">
        <v>109</v>
      </c>
      <c r="V9"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46225</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Maskaure Långmyran SV, 6,8 ha</t>
        </is>
      </c>
      <c r="B11" t="inlineStr">
        <is>
          <t>inventeringsområde</t>
        </is>
      </c>
      <c r="D11" s="1" t="n">
        <v>46223</v>
      </c>
      <c r="E11" s="1" t="n">
        <v>46225</v>
      </c>
      <c r="F11" t="inlineStr">
        <is>
          <t>Norrbottens län</t>
        </is>
      </c>
      <c r="G11" t="inlineStr">
        <is>
          <t>Arjeplog</t>
        </is>
      </c>
      <c r="H11" t="inlineStr">
        <is>
          <t>Sveaskog</t>
        </is>
      </c>
      <c r="I11" t="n">
        <v>6.9</v>
      </c>
      <c r="J11" t="n">
        <v>3</v>
      </c>
      <c r="K11" t="n">
        <v>3</v>
      </c>
      <c r="L11" t="n">
        <v>16</v>
      </c>
      <c r="M11" t="n">
        <v>4</v>
      </c>
      <c r="N11" t="n">
        <v>0</v>
      </c>
      <c r="O11" t="n">
        <v>0</v>
      </c>
      <c r="P11" t="n">
        <v>0</v>
      </c>
      <c r="Q11" t="n">
        <v>20</v>
      </c>
      <c r="R11" t="n">
        <v>4</v>
      </c>
      <c r="S11" t="n">
        <v>26</v>
      </c>
      <c r="T11" t="n">
        <v>64</v>
      </c>
      <c r="U11" t="n">
        <v>56</v>
      </c>
      <c r="V11"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Tjäder</t>
        </is>
      </c>
      <c r="W11">
        <f>HYPERLINK("https://klasma.github.io/Logging_FORSKNINGSRESAN_2026_ARJEPLOG/artfynd/Maskaure Långmyran SV, 6,8 ha artfynd.xlsx", "Maskaure Långmyran SV, 6,8 ha")</f>
        <v/>
      </c>
      <c r="X11">
        <f>HYPERLINK("https://klasma.github.io/Logging_FORSKNINGSRESAN_2026_ARJEPLOG/kartor/Maskaure Långmyran SV, 6,8 ha karta.png", "Maskaure Långmyran SV, 6,8 ha")</f>
        <v/>
      </c>
      <c r="Y11">
        <f>HYPERLINK("https://klasma.github.io/Logging_FORSKNINGSRESAN_2026_ARJEPLOG/kartor_geotiff/Maskaure Långmyran SV, 6,8 ha georefererad karta.tif", "Maskaure Långmyran SV, 6,8 ha")</f>
        <v/>
      </c>
      <c r="AA11">
        <f>HYPERLINK("https://klasma.github.io/Logging_FORSKNINGSRESAN_2026_ARJEPLOG/klagomål/Maskaure Långmyran SV, 6,8 ha FSC-klagomål.docx", "Maskaure Långmyran SV, 6,8 ha")</f>
        <v/>
      </c>
      <c r="AB11">
        <f>HYPERLINK("https://klasma.github.io/Logging_FORSKNINGSRESAN_2026_ARJEPLOG/klagomålsmail/Maskaure Långmyran SV, 6,8 ha FSC-klagomål mail.docx", "Maskaure Långmyran SV, 6,8 ha")</f>
        <v/>
      </c>
      <c r="AC11">
        <f>HYPERLINK("https://klasma.github.io/Logging_FORSKNINGSRESAN_2026_ARJEPLOG/tillsyn/Maskaure Långmyran SV, 6,8 ha tillsynsbegäran.docx", "Maskaure Långmyran SV, 6,8 ha")</f>
        <v/>
      </c>
      <c r="AD11">
        <f>HYPERLINK("https://klasma.github.io/Logging_FORSKNINGSRESAN_2026_ARJEPLOG/tillsynsmail/Maskaure Långmyran SV, 6,8 ha tillsynsbegäran mail.docx", "Maskaure Långmyran SV, 6,8 ha")</f>
        <v/>
      </c>
      <c r="AE11">
        <f>HYPERLINK("https://klasma.github.io/Logging_FORSKNINGSRESAN_2026_ARJEPLOG/fåglar/Maskaure Långmyran SV, 6,8 ha prioriterade fågelarter.docx", "Maskaure Långmyran SV, 6,8 ha")</f>
        <v/>
      </c>
      <c r="AF11" t="n">
        <v/>
      </c>
      <c r="AG11" t="n">
        <v>1</v>
      </c>
      <c r="AH11" t="inlineStr">
        <is>
          <t>Sveaskog</t>
        </is>
      </c>
      <c r="AI11" t="inlineStr">
        <is>
          <t>Ons: Gr 3</t>
        </is>
      </c>
      <c r="AJ11" t="n">
        <v/>
      </c>
    </row>
    <row r="12" ht="15" customHeight="1">
      <c r="A12" t="inlineStr">
        <is>
          <t>Njuöniesvárrie NV avvanm</t>
        </is>
      </c>
      <c r="B12" t="inlineStr">
        <is>
          <t>inventeringsområde</t>
        </is>
      </c>
      <c r="D12" s="1" t="n">
        <v>46223</v>
      </c>
      <c r="E12" s="1" t="n">
        <v>46225</v>
      </c>
      <c r="F12" t="inlineStr">
        <is>
          <t>Norrbottens län</t>
        </is>
      </c>
      <c r="G12" t="inlineStr">
        <is>
          <t>Arjeplog</t>
        </is>
      </c>
      <c r="H12" t="inlineStr">
        <is>
          <t>Allmännings- och besparingsskogar</t>
        </is>
      </c>
      <c r="I12" t="n">
        <v>39.8</v>
      </c>
      <c r="J12" t="n">
        <v>4</v>
      </c>
      <c r="K12" t="n">
        <v>3</v>
      </c>
      <c r="L12" t="n">
        <v>13</v>
      </c>
      <c r="M12" t="n">
        <v>5</v>
      </c>
      <c r="N12" t="n">
        <v>1</v>
      </c>
      <c r="O12" t="n">
        <v>0</v>
      </c>
      <c r="P12" t="n">
        <v>0</v>
      </c>
      <c r="Q12" t="n">
        <v>19</v>
      </c>
      <c r="R12" t="n">
        <v>6</v>
      </c>
      <c r="S12" t="n">
        <v>23</v>
      </c>
      <c r="T12" t="n">
        <v>73</v>
      </c>
      <c r="U12" t="n">
        <v>73</v>
      </c>
      <c r="V1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2">
        <f>HYPERLINK("https://klasma.github.io/Logging_FORSKNINGSRESAN_2026_ARJEPLOG/artfynd/Njuöniesvárrie NV avvanm artfynd.xlsx", "Njuöniesvárrie NV avvanm")</f>
        <v/>
      </c>
      <c r="X12">
        <f>HYPERLINK("https://klasma.github.io/Logging_FORSKNINGSRESAN_2026_ARJEPLOG/kartor/Njuöniesvárrie NV avvanm karta.png", "Njuöniesvárrie NV avvanm")</f>
        <v/>
      </c>
      <c r="Y12">
        <f>HYPERLINK("https://klasma.github.io/Logging_FORSKNINGSRESAN_2026_ARJEPLOG/kartor_geotiff/Njuöniesvárrie NV avvanm georefererad karta.tif", "Njuöniesvárrie NV avvanm")</f>
        <v/>
      </c>
      <c r="Z12">
        <f>HYPERLINK("https://klasma.github.io/Logging_FORSKNINGSRESAN_2026_ARJEPLOG/knärot/Njuöniesvárrie NV avvanm karta knärot.png", "Njuöniesvárrie NV avvanm")</f>
        <v/>
      </c>
      <c r="AA12">
        <f>HYPERLINK("https://klasma.github.io/Logging_FORSKNINGSRESAN_2026_ARJEPLOG/klagomål/Njuöniesvárrie NV avvanm FSC-klagomål.docx", "Njuöniesvárrie NV avvanm")</f>
        <v/>
      </c>
      <c r="AB12">
        <f>HYPERLINK("https://klasma.github.io/Logging_FORSKNINGSRESAN_2026_ARJEPLOG/klagomålsmail/Njuöniesvárrie NV avvanm FSC-klagomål mail.docx", "Njuöniesvárrie NV avvanm")</f>
        <v/>
      </c>
      <c r="AC12">
        <f>HYPERLINK("https://klasma.github.io/Logging_FORSKNINGSRESAN_2026_ARJEPLOG/tillsyn/Njuöniesvárrie NV avvanm tillsynsbegäran.docx", "Njuöniesvárrie NV avvanm")</f>
        <v/>
      </c>
      <c r="AD12">
        <f>HYPERLINK("https://klasma.github.io/Logging_FORSKNINGSRESAN_2026_ARJEPLOG/tillsynsmail/Njuöniesvárrie NV avvanm tillsynsbegäran mail.docx", "Njuöniesvárrie NV avvanm")</f>
        <v/>
      </c>
      <c r="AE12">
        <f>HYPERLINK("https://klasma.github.io/Logging_FORSKNINGSRESAN_2026_ARJEPLOG/fåglar/Njuöniesvárrie NV avvanm prioriterade fågelarter.docx", "Njuöniesvárrie NV avvanm")</f>
        <v/>
      </c>
      <c r="AF12" t="inlineStr">
        <is>
          <t>Barrblandskog, eventuellt bom!! avvanm</t>
        </is>
      </c>
      <c r="AG12" t="n">
        <v>1</v>
      </c>
      <c r="AH12" t="inlineStr">
        <is>
          <t>Allmännings- och besparingsskogar</t>
        </is>
      </c>
      <c r="AI12" t="n">
        <v/>
      </c>
      <c r="AJ12" t="n">
        <v/>
      </c>
    </row>
    <row r="13" ht="15" customHeight="1">
      <c r="A13" t="inlineStr">
        <is>
          <t>Maskaure Renskötartjärnen, 8,3 ha</t>
        </is>
      </c>
      <c r="B13" t="inlineStr">
        <is>
          <t>inventeringsområde</t>
        </is>
      </c>
      <c r="D13" s="1" t="n">
        <v>46223</v>
      </c>
      <c r="E13" s="1" t="n">
        <v>46225</v>
      </c>
      <c r="F13" t="inlineStr">
        <is>
          <t>Norrbottens län</t>
        </is>
      </c>
      <c r="G13" t="inlineStr">
        <is>
          <t>Arjeplog</t>
        </is>
      </c>
      <c r="H13" t="inlineStr">
        <is>
          <t>Sveaskog</t>
        </is>
      </c>
      <c r="I13" t="n">
        <v>8.300000000000001</v>
      </c>
      <c r="J13" t="n">
        <v>2</v>
      </c>
      <c r="K13" t="n">
        <v>2</v>
      </c>
      <c r="L13" t="n">
        <v>12</v>
      </c>
      <c r="M13" t="n">
        <v>7</v>
      </c>
      <c r="N13" t="n">
        <v>0</v>
      </c>
      <c r="O13" t="n">
        <v>1</v>
      </c>
      <c r="P13" t="n">
        <v>0</v>
      </c>
      <c r="Q13" t="n">
        <v>20</v>
      </c>
      <c r="R13" t="n">
        <v>8</v>
      </c>
      <c r="S13" t="n">
        <v>23</v>
      </c>
      <c r="T13" t="n">
        <v>79</v>
      </c>
      <c r="U13" t="n">
        <v>47</v>
      </c>
      <c r="V13"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46225</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46225</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46225</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46225</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46225</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46225</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46225</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46225</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46225</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46225</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46225</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46225</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46225</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46225</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46225</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46225</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46225</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46225</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46225</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46225</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2026-07-22T21:53:00Z</dcterms:created>
  <dcterms:modified xmlns:dcterms="http://purl.org/dc/terms/" xmlns:xsi="http://www.w3.org/2001/XMLSchema-instance" xsi:type="dcterms:W3CDTF">2026-07-22T21:53:00Z</dcterms:modified>
</cp:coreProperties>
</file>