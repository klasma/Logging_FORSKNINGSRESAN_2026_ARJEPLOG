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Muorkenåive-Ássjátj N</t>
        </is>
      </c>
      <c r="B5" t="inlineStr">
        <is>
          <t>inventeringsområde</t>
        </is>
      </c>
      <c r="D5" s="1" t="n">
        <v>46223</v>
      </c>
      <c r="E5" s="1" t="n">
        <v>46226</v>
      </c>
      <c r="F5" t="inlineStr">
        <is>
          <t>Norrbottens län</t>
        </is>
      </c>
      <c r="G5" t="inlineStr">
        <is>
          <t>Arjeplog</t>
        </is>
      </c>
      <c r="I5" t="n">
        <v>111.8</v>
      </c>
      <c r="J5" t="n">
        <v>5</v>
      </c>
      <c r="K5" t="n">
        <v>9</v>
      </c>
      <c r="L5" t="n">
        <v>16</v>
      </c>
      <c r="M5" t="n">
        <v>8</v>
      </c>
      <c r="N5" t="n">
        <v>0</v>
      </c>
      <c r="O5" t="n">
        <v>0</v>
      </c>
      <c r="P5" t="n">
        <v>0</v>
      </c>
      <c r="Q5" t="n">
        <v>24</v>
      </c>
      <c r="R5" t="n">
        <v>8</v>
      </c>
      <c r="S5" t="n">
        <v>38</v>
      </c>
      <c r="T5" t="n">
        <v>123</v>
      </c>
      <c r="U5" t="n">
        <v>123</v>
      </c>
      <c r="V5" s="2" t="inlineStr">
        <is>
          <t>Garnlav
Grantickeporing
Grenlav
Gränsticka
Lecidea subhumida
Ostticka
Sprickporing
Vitskaftad svartspik
Blanksvart spiklav
Blågrå svartspik
Dvärgbägarlav
Gammelgransskål
Harticka
Knottrig blåslav
Lavskrika
Liten svartspik
Rosenticka
Rostania pallida
Skrovellav
Stjärntagging
Tretåig hackspett
Ullticka
Vedskivlav
Vitgrynig nållav
Blodticka
Bårdlav
Gulnål
Korallrot
Luddlav
Spindelblomster
Stuplav
Vedticka
Ögonpyrola
Brudborste
Ekbräken
Nordisk stormhatt
Ormbär
Tjäder</t>
        </is>
      </c>
      <c r="W5">
        <f>HYPERLINK("https://klasma.github.io/Logging_FORSKNINGSRESAN_2026_ARJEPLOG/artfynd/Muorkenåive-Ássjátj N artfynd.xlsx", "Muorkenåive-Ássjátj N")</f>
        <v/>
      </c>
      <c r="X5">
        <f>HYPERLINK("https://klasma.github.io/Logging_FORSKNINGSRESAN_2026_ARJEPLOG/kartor/Muorkenåive-Ássjátj N karta.png", "Muorkenåive-Ássjátj N")</f>
        <v/>
      </c>
      <c r="Y5">
        <f>HYPERLINK("https://klasma.github.io/Logging_FORSKNINGSRESAN_2026_ARJEPLOG/kartor_geotiff/Muorkenåive-Ássjátj N georefererad karta.tif", "Muorkenåive-Ássjátj N")</f>
        <v/>
      </c>
      <c r="AA5">
        <f>HYPERLINK("https://klasma.github.io/Logging_FORSKNINGSRESAN_2026_ARJEPLOG/klagomål/Muorkenåive-Ássjátj N FSC-klagomål.docx", "Muorkenåive-Ássjátj N")</f>
        <v/>
      </c>
      <c r="AB5">
        <f>HYPERLINK("https://klasma.github.io/Logging_FORSKNINGSRESAN_2026_ARJEPLOG/klagomålsmail/Muorkenåive-Ássjátj N FSC-klagomål mail.docx", "Muorkenåive-Ássjátj N")</f>
        <v/>
      </c>
      <c r="AC5">
        <f>HYPERLINK("https://klasma.github.io/Logging_FORSKNINGSRESAN_2026_ARJEPLOG/tillsyn/Muorkenåive-Ássjátj N tillsynsbegäran.docx", "Muorkenåive-Ássjátj N")</f>
        <v/>
      </c>
      <c r="AD5">
        <f>HYPERLINK("https://klasma.github.io/Logging_FORSKNINGSRESAN_2026_ARJEPLOG/tillsynsmail/Muorkenåive-Ássjátj N tillsynsbegäran mail.docx", "Muorkenåive-Ássjátj N")</f>
        <v/>
      </c>
      <c r="AE5">
        <f>HYPERLINK("https://klasma.github.io/Logging_FORSKNINGSRESAN_2026_ARJEPLOG/fåglar/Muorkenåive-Ássjátj N prioriterade fågelarter.docx", "Muorkenåive-Ássjátj N")</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2</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Bremudden avvanm</t>
        </is>
      </c>
      <c r="B19" t="inlineStr">
        <is>
          <t>inventeringsområde</t>
        </is>
      </c>
      <c r="D19" s="1" t="n">
        <v>46223</v>
      </c>
      <c r="E19" s="1" t="n">
        <v>46226</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HYPERLINK("https://klasma.github.io/Logging_FORSKNINGSRESAN_2026_ARJEPLOG/artfynd/Bremudden avvanm artfynd.xlsx", "Bremudden avvanm")</f>
        <v/>
      </c>
      <c r="X19">
        <f>HYPERLINK("https://klasma.github.io/Logging_FORSKNINGSRESAN_2026_ARJEPLOG/kartor/Bremudden avvanm karta.png", "Bremudden avvanm")</f>
        <v/>
      </c>
      <c r="Y19">
        <f>HYPERLINK("https://klasma.github.io/Logging_FORSKNINGSRESAN_2026_ARJEPLOG/kartor_geotiff/Bremudden avvanm georefererad karta.tif", "Bremudden avvanm")</f>
        <v/>
      </c>
      <c r="AA19">
        <f>HYPERLINK("https://klasma.github.io/Logging_FORSKNINGSRESAN_2026_ARJEPLOG/klagomål/Bremudden avvanm FSC-klagomål.docx", "Bremudden avvanm")</f>
        <v/>
      </c>
      <c r="AB19">
        <f>HYPERLINK("https://klasma.github.io/Logging_FORSKNINGSRESAN_2026_ARJEPLOG/klagomålsmail/Bremudden avvanm FSC-klagomål mail.docx", "Bremudden avvanm")</f>
        <v/>
      </c>
      <c r="AC19">
        <f>HYPERLINK("https://klasma.github.io/Logging_FORSKNINGSRESAN_2026_ARJEPLOG/tillsyn/Bremudden avvanm tillsynsbegäran.docx", "Bremudden avvanm")</f>
        <v/>
      </c>
      <c r="AD19">
        <f>HYPERLINK("https://klasma.github.io/Logging_FORSKNINGSRESAN_2026_ARJEPLOG/tillsynsmail/Bremudden avvanm tillsynsbegäran mail.docx", "Bremudden avvanm")</f>
        <v/>
      </c>
      <c r="AE19">
        <f>HYPERLINK("https://klasma.github.io/Logging_FORSKNINGSRESAN_2026_ARJEPLOG/fåglar/Bremudden avvanm prioriterade fågelarter.docx", "Bremudden avvanm")</f>
        <v/>
      </c>
      <c r="AF19" t="inlineStr">
        <is>
          <t>avvanm</t>
        </is>
      </c>
      <c r="AG19" t="n">
        <v/>
      </c>
      <c r="AH19" t="inlineStr">
        <is>
          <t>Privat</t>
        </is>
      </c>
      <c r="AI19" t="inlineStr">
        <is>
          <t>Tis: Gr 1 (prio 2)</t>
        </is>
      </c>
      <c r="AJ19" t="inlineStr">
        <is>
          <t>A 24892-2026</t>
        </is>
      </c>
    </row>
    <row r="20" ht="15" customHeight="1">
      <c r="A20" t="inlineStr">
        <is>
          <t>S om Kvarntjärnen</t>
        </is>
      </c>
      <c r="B20" t="inlineStr">
        <is>
          <t>inventeringsområde</t>
        </is>
      </c>
      <c r="D20" s="1" t="n">
        <v>46223</v>
      </c>
      <c r="E20" s="1" t="n">
        <v>46226</v>
      </c>
      <c r="F20" t="inlineStr">
        <is>
          <t>Norrbottens län</t>
        </is>
      </c>
      <c r="G20" t="inlineStr">
        <is>
          <t>Arjeplog</t>
        </is>
      </c>
      <c r="H20" t="inlineStr">
        <is>
          <t>Sveaskog</t>
        </is>
      </c>
      <c r="I20" t="n">
        <v>27.7</v>
      </c>
      <c r="J20" t="n">
        <v>4</v>
      </c>
      <c r="K20" t="n">
        <v>3</v>
      </c>
      <c r="L20" t="n">
        <v>9</v>
      </c>
      <c r="M20" t="n">
        <v>2</v>
      </c>
      <c r="N20" t="n">
        <v>1</v>
      </c>
      <c r="O20" t="n">
        <v>0</v>
      </c>
      <c r="P20" t="n">
        <v>0</v>
      </c>
      <c r="Q20" t="n">
        <v>12</v>
      </c>
      <c r="R20" t="n">
        <v>3</v>
      </c>
      <c r="S20" t="n">
        <v>15</v>
      </c>
      <c r="T20" t="n">
        <v>82</v>
      </c>
      <c r="U20" t="n">
        <v>82</v>
      </c>
      <c r="V20" s="2" t="inlineStr">
        <is>
          <t>Lusporing
Garnlav
Gräddporing
Blanksvart spiklav
Dropptaggsvamp
Dvärgbägarlav
Lavskrika
Nordtagging
Talltagel
Talltita
Tretåig hackspett
Vedskivlav
Norrlandslav
Plattlummer
Vedticka</t>
        </is>
      </c>
      <c r="W20">
        <f>HYPERLINK("https://klasma.github.io/Logging_FORSKNINGSRESAN_2026_ARJEPLOG/artfynd/S om Kvarntjärnen artfynd.xlsx", "S om Kvarntjärnen")</f>
        <v/>
      </c>
      <c r="X20">
        <f>HYPERLINK("https://klasma.github.io/Logging_FORSKNINGSRESAN_2026_ARJEPLOG/kartor/S om Kvarntjärnen karta.png", "S om Kvarntjärnen")</f>
        <v/>
      </c>
      <c r="Y20">
        <f>HYPERLINK("https://klasma.github.io/Logging_FORSKNINGSRESAN_2026_ARJEPLOG/kartor_geotiff/S om Kvarntjärnen georefererad karta.tif", "S om Kvarntjärnen")</f>
        <v/>
      </c>
      <c r="AA20">
        <f>HYPERLINK("https://klasma.github.io/Logging_FORSKNINGSRESAN_2026_ARJEPLOG/klagomål/S om Kvarntjärnen FSC-klagomål.docx", "S om Kvarntjärnen")</f>
        <v/>
      </c>
      <c r="AB20">
        <f>HYPERLINK("https://klasma.github.io/Logging_FORSKNINGSRESAN_2026_ARJEPLOG/klagomålsmail/S om Kvarntjärnen FSC-klagomål mail.docx", "S om Kvarntjärnen")</f>
        <v/>
      </c>
      <c r="AC20">
        <f>HYPERLINK("https://klasma.github.io/Logging_FORSKNINGSRESAN_2026_ARJEPLOG/tillsyn/S om Kvarntjärnen tillsynsbegäran.docx", "S om Kvarntjärnen")</f>
        <v/>
      </c>
      <c r="AD20">
        <f>HYPERLINK("https://klasma.github.io/Logging_FORSKNINGSRESAN_2026_ARJEPLOG/tillsynsmail/S om Kvarntjärnen tillsynsbegäran mail.docx", "S om Kvarntjärnen")</f>
        <v/>
      </c>
      <c r="AE20">
        <f>HYPERLINK("https://klasma.github.io/Logging_FORSKNINGSRESAN_2026_ARJEPLOG/fåglar/S om Kvarntjärnen prioriterade fågelarter.docx", "S om Kvarntjärnen")</f>
        <v/>
      </c>
      <c r="AF20" t="inlineStr">
        <is>
          <t>Ser bra ut från vägen, bom öppen.</t>
        </is>
      </c>
      <c r="AG20" t="n">
        <v>10</v>
      </c>
      <c r="AH20" t="inlineStr">
        <is>
          <t>Sveaskog</t>
        </is>
      </c>
      <c r="AI20" t="inlineStr">
        <is>
          <t>Tis: Gr 2 (prio 3)</t>
        </is>
      </c>
      <c r="AJ20" t="n">
        <v/>
      </c>
    </row>
    <row r="21" ht="15" customHeight="1">
      <c r="A21" t="inlineStr">
        <is>
          <t>Muorkenåive-Ássjátj S</t>
        </is>
      </c>
      <c r="B21" t="inlineStr">
        <is>
          <t>inventeringsområde</t>
        </is>
      </c>
      <c r="D21" s="1" t="n">
        <v>46223</v>
      </c>
      <c r="E21" s="1" t="n">
        <v>46226</v>
      </c>
      <c r="F21" t="inlineStr">
        <is>
          <t>Norrbottens län</t>
        </is>
      </c>
      <c r="G21" t="inlineStr">
        <is>
          <t>Arjeplog</t>
        </is>
      </c>
      <c r="I21" t="n">
        <v>113.6</v>
      </c>
      <c r="J21" t="n">
        <v>0</v>
      </c>
      <c r="K21" t="n">
        <v>4</v>
      </c>
      <c r="L21" t="n">
        <v>7</v>
      </c>
      <c r="M21" t="n">
        <v>4</v>
      </c>
      <c r="N21" t="n">
        <v>0</v>
      </c>
      <c r="O21" t="n">
        <v>0</v>
      </c>
      <c r="P21" t="n">
        <v>0</v>
      </c>
      <c r="Q21" t="n">
        <v>11</v>
      </c>
      <c r="R21" t="n">
        <v>4</v>
      </c>
      <c r="S21" t="n">
        <v>15</v>
      </c>
      <c r="T21" t="n">
        <v>17</v>
      </c>
      <c r="U21" t="n">
        <v>5</v>
      </c>
      <c r="V21" s="2" t="inlineStr">
        <is>
          <t>Grantickeporing
Gränsticka
Ostticka
Vitskaftad svartspik
Gammelgransskål
Harticka
Knottrig blåslav
Rosenticka
Rynkskinn
Ullticka
Violmussling
Blodticka
Stuplav
Trådticka
Ögonpyrola</t>
        </is>
      </c>
      <c r="W21">
        <f>HYPERLINK("https://klasma.github.io/Logging_FORSKNINGSRESAN_2026_ARJEPLOG/artfynd/Muorkenåive-Ássjátj S artfynd.xlsx", "Muorkenåive-Ássjátj S")</f>
        <v/>
      </c>
      <c r="X21">
        <f>HYPERLINK("https://klasma.github.io/Logging_FORSKNINGSRESAN_2026_ARJEPLOG/kartor/Muorkenåive-Ássjátj S karta.png", "Muorkenåive-Ássjátj S")</f>
        <v/>
      </c>
      <c r="Y21">
        <f>HYPERLINK("https://klasma.github.io/Logging_FORSKNINGSRESAN_2026_ARJEPLOG/kartor_geotiff/Muorkenåive-Ássjátj S georefererad karta.tif", "Muorkenåive-Ássjátj S")</f>
        <v/>
      </c>
      <c r="AA21">
        <f>HYPERLINK("https://klasma.github.io/Logging_FORSKNINGSRESAN_2026_ARJEPLOG/klagomål/Muorkenåive-Ássjátj S FSC-klagomål.docx", "Muorkenåive-Ássjátj S")</f>
        <v/>
      </c>
      <c r="AB21">
        <f>HYPERLINK("https://klasma.github.io/Logging_FORSKNINGSRESAN_2026_ARJEPLOG/klagomålsmail/Muorkenåive-Ássjátj S FSC-klagomål mail.docx", "Muorkenåive-Ássjátj S")</f>
        <v/>
      </c>
      <c r="AC21">
        <f>HYPERLINK("https://klasma.github.io/Logging_FORSKNINGSRESAN_2026_ARJEPLOG/tillsyn/Muorkenåive-Ássjátj S tillsynsbegäran.docx", "Muorkenåive-Ássjátj S")</f>
        <v/>
      </c>
      <c r="AD21">
        <f>HYPERLINK("https://klasma.github.io/Logging_FORSKNINGSRESAN_2026_ARJEPLOG/tillsynsmail/Muorkenåive-Ássjátj S tillsynsbegäran mail.docx", "Muorkenåive-Ássjátj S")</f>
        <v/>
      </c>
      <c r="AF21" t="inlineStr">
        <is>
          <t>Slagit samman Muorkenåive-privat med Assjatj-privat (lilla) till ett objekt efter fältgenomgång. /FF Behöver inte finkamma, men bra att få in några fynd. kommer avvanm hela tiden.</t>
        </is>
      </c>
      <c r="AG21" t="n">
        <v>1</v>
      </c>
      <c r="AH21" t="inlineStr">
        <is>
          <t>Privat</t>
        </is>
      </c>
      <c r="AI21" t="inlineStr">
        <is>
          <t>Dag Gran: Gr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2026-07-23T16:03:12Z</dcterms:created>
  <dcterms:modified xmlns:dcterms="http://purl.org/dc/terms/" xmlns:xsi="http://www.w3.org/2001/XMLSchema-instance" xsi:type="dcterms:W3CDTF">2026-07-23T16:03:12Z</dcterms:modified>
</cp:coreProperties>
</file>