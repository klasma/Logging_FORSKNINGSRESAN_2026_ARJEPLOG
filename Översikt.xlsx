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Muorkenåive-Ássjátj N</t>
        </is>
      </c>
      <c r="B5" t="inlineStr">
        <is>
          <t>inventeringsområde</t>
        </is>
      </c>
      <c r="D5" s="1" t="n">
        <v>46223</v>
      </c>
      <c r="E5" s="1" t="n">
        <v>46226</v>
      </c>
      <c r="F5" t="inlineStr">
        <is>
          <t>Norrbottens län</t>
        </is>
      </c>
      <c r="G5" t="inlineStr">
        <is>
          <t>Arjeplog</t>
        </is>
      </c>
      <c r="I5" t="n">
        <v>111.8</v>
      </c>
      <c r="J5" t="n">
        <v>5</v>
      </c>
      <c r="K5" t="n">
        <v>9</v>
      </c>
      <c r="L5" t="n">
        <v>16</v>
      </c>
      <c r="M5" t="n">
        <v>8</v>
      </c>
      <c r="N5" t="n">
        <v>0</v>
      </c>
      <c r="O5" t="n">
        <v>0</v>
      </c>
      <c r="P5" t="n">
        <v>0</v>
      </c>
      <c r="Q5" t="n">
        <v>24</v>
      </c>
      <c r="R5" t="n">
        <v>8</v>
      </c>
      <c r="S5" t="n">
        <v>38</v>
      </c>
      <c r="T5" t="n">
        <v>123</v>
      </c>
      <c r="U5" t="n">
        <v>123</v>
      </c>
      <c r="V5" s="2" t="inlineStr">
        <is>
          <t>Garnlav
Grantickeporing
Grenlav
Gränsticka
Lecidea subhumida
Ostticka
Sprickporing
Vitskaftad svartspik
Blanksvart spiklav
Blågrå svartspik
Dvärgbägarlav
Gammelgransskål
Harticka
Knottrig blåslav
Lavskrika
Liten svartspik
Rosenticka
Rostania pallida
Skrovellav
Stjärntagging
Tretåig hackspett
Ullticka
Vedskivlav
Vitgrynig nållav
Blodticka
Bårdlav
Gulnål
Korallrot
Luddlav
Spindelblomster
Stuplav
Vedticka
Ögonpyrola
Brudborste
Ekbräken
Nordisk stormhatt
Ormbär
Tjäder</t>
        </is>
      </c>
      <c r="W5">
        <f>HYPERLINK("https://klasma.github.io/Logging_FORSKNINGSRESAN_2026_ARJEPLOG/artfynd/Muorkenåive-Ássjátj N artfynd.xlsx", "Muorkenåive-Ássjátj N")</f>
        <v/>
      </c>
      <c r="X5">
        <f>HYPERLINK("https://klasma.github.io/Logging_FORSKNINGSRESAN_2026_ARJEPLOG/kartor/Muorkenåive-Ássjátj N karta.png", "Muorkenåive-Ássjátj N")</f>
        <v/>
      </c>
      <c r="Y5">
        <f>HYPERLINK("https://klasma.github.io/Logging_FORSKNINGSRESAN_2026_ARJEPLOG/kartor_geotiff/Muorkenåive-Ássjátj N georefererad karta.tif", "Muorkenåive-Ássjátj N")</f>
        <v/>
      </c>
      <c r="AA5">
        <f>HYPERLINK("https://klasma.github.io/Logging_FORSKNINGSRESAN_2026_ARJEPLOG/klagomål/Muorkenåive-Ássjátj N FSC-klagomål.docx", "Muorkenåive-Ássjátj N")</f>
        <v/>
      </c>
      <c r="AB5">
        <f>HYPERLINK("https://klasma.github.io/Logging_FORSKNINGSRESAN_2026_ARJEPLOG/klagomålsmail/Muorkenåive-Ássjátj N FSC-klagomål mail.docx", "Muorkenåive-Ássjátj N")</f>
        <v/>
      </c>
      <c r="AC5">
        <f>HYPERLINK("https://klasma.github.io/Logging_FORSKNINGSRESAN_2026_ARJEPLOG/tillsyn/Muorkenåive-Ássjátj N tillsynsbegäran.docx", "Muorkenåive-Ássjátj N")</f>
        <v/>
      </c>
      <c r="AD5">
        <f>HYPERLINK("https://klasma.github.io/Logging_FORSKNINGSRESAN_2026_ARJEPLOG/tillsynsmail/Muorkenåive-Ássjátj N tillsynsbegäran mail.docx", "Muorkenåive-Ássjátj N")</f>
        <v/>
      </c>
      <c r="AE5">
        <f>HYPERLINK("https://klasma.github.io/Logging_FORSKNINGSRESAN_2026_ARJEPLOG/fåglar/Muorkenåive-Ássjátj N prioriterade fågelarter.docx", "Muorkenåive-Ássjátj N")</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2</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Skornjamyran avvanm, 11,2 ha</t>
        </is>
      </c>
      <c r="B9" t="inlineStr">
        <is>
          <t>inventeringsområde</t>
        </is>
      </c>
      <c r="D9" s="1" t="n">
        <v>46223</v>
      </c>
      <c r="E9" s="1" t="n">
        <v>46226</v>
      </c>
      <c r="F9" t="inlineStr">
        <is>
          <t>Norrbottens län</t>
        </is>
      </c>
      <c r="G9" t="inlineStr">
        <is>
          <t>Arjeplog</t>
        </is>
      </c>
      <c r="I9" t="n">
        <v>11.2</v>
      </c>
      <c r="J9" t="n">
        <v>4</v>
      </c>
      <c r="K9" t="n">
        <v>4</v>
      </c>
      <c r="L9" t="n">
        <v>16</v>
      </c>
      <c r="M9" t="n">
        <v>7</v>
      </c>
      <c r="N9" t="n">
        <v>0</v>
      </c>
      <c r="O9" t="n">
        <v>0</v>
      </c>
      <c r="P9" t="n">
        <v>0</v>
      </c>
      <c r="Q9" t="n">
        <v>23</v>
      </c>
      <c r="R9" t="n">
        <v>7</v>
      </c>
      <c r="S9" t="n">
        <v>28</v>
      </c>
      <c r="T9" t="n">
        <v>125</v>
      </c>
      <c r="U9" t="n">
        <v>125</v>
      </c>
      <c r="V9"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9">
        <f>HYPERLINK("https://klasma.github.io/Logging_FORSKNINGSRESAN_2026_ARJEPLOG/artfynd/Maskaure Skornjamyran avvanm, 11,2 ha artfynd.xlsx", "Maskaure Skornjamyran avvanm, 11,2 ha")</f>
        <v/>
      </c>
      <c r="X9">
        <f>HYPERLINK("https://klasma.github.io/Logging_FORSKNINGSRESAN_2026_ARJEPLOG/kartor/Maskaure Skornjamyran avvanm, 11,2 ha karta.png", "Maskaure Skornjamyran avvanm, 11,2 ha")</f>
        <v/>
      </c>
      <c r="Y9">
        <f>HYPERLINK("https://klasma.github.io/Logging_FORSKNINGSRESAN_2026_ARJEPLOG/kartor_geotiff/Maskaure Skornjamyran avvanm, 11,2 ha georefererad karta.tif", "Maskaure Skornjamyran avvanm, 11,2 ha")</f>
        <v/>
      </c>
      <c r="AA9">
        <f>HYPERLINK("https://klasma.github.io/Logging_FORSKNINGSRESAN_2026_ARJEPLOG/klagomål/Maskaure Skornjamyran avvanm, 11,2 ha FSC-klagomål.docx", "Maskaure Skornjamyran avvanm, 11,2 ha")</f>
        <v/>
      </c>
      <c r="AB9">
        <f>HYPERLINK("https://klasma.github.io/Logging_FORSKNINGSRESAN_2026_ARJEPLOG/klagomålsmail/Maskaure Skornjamyran avvanm, 11,2 ha FSC-klagomål mail.docx", "Maskaure Skornjamyran avvanm, 11,2 ha")</f>
        <v/>
      </c>
      <c r="AC9">
        <f>HYPERLINK("https://klasma.github.io/Logging_FORSKNINGSRESAN_2026_ARJEPLOG/tillsyn/Maskaure Skornjamyran avvanm, 11,2 ha tillsynsbegäran.docx", "Maskaure Skornjamyran avvanm, 11,2 ha")</f>
        <v/>
      </c>
      <c r="AD9">
        <f>HYPERLINK("https://klasma.github.io/Logging_FORSKNINGSRESAN_2026_ARJEPLOG/tillsynsmail/Maskaure Skornjamyran avvanm, 11,2 ha tillsynsbegäran mail.docx", "Maskaure Skornjamyran avvanm, 11,2 ha")</f>
        <v/>
      </c>
      <c r="AE9">
        <f>HYPERLINK("https://klasma.github.io/Logging_FORSKNINGSRESAN_2026_ARJEPLOG/fåglar/Maskaure Skornjamyran avvanm, 11,2 ha prioriterade fågelarter.docx", "Maskaure Skornjamyran avvanm, 11,2 ha")</f>
        <v/>
      </c>
      <c r="AF9" t="inlineStr">
        <is>
          <t>mest gran, nyckelbiotop, avvanm</t>
        </is>
      </c>
      <c r="AG9" t="n">
        <v>1</v>
      </c>
      <c r="AH9" t="inlineStr">
        <is>
          <t>Privat</t>
        </is>
      </c>
      <c r="AI9" t="inlineStr">
        <is>
          <t>Ons: Gr 3</t>
        </is>
      </c>
      <c r="AJ9" t="inlineStr">
        <is>
          <t>A 45924-2023</t>
        </is>
      </c>
    </row>
    <row r="10" ht="15" customHeight="1">
      <c r="A10" t="inlineStr">
        <is>
          <t>Maskaure Uddnäs avvanm, 4,6 ha</t>
        </is>
      </c>
      <c r="B10" t="inlineStr">
        <is>
          <t>inventeringsområde</t>
        </is>
      </c>
      <c r="D10" s="1" t="n">
        <v>46223</v>
      </c>
      <c r="E10" s="1" t="n">
        <v>46226</v>
      </c>
      <c r="F10" t="inlineStr">
        <is>
          <t>Norrbottens län</t>
        </is>
      </c>
      <c r="G10" t="inlineStr">
        <is>
          <t>Arjeplog</t>
        </is>
      </c>
      <c r="I10" t="n">
        <v>4.6</v>
      </c>
      <c r="J10" t="n">
        <v>3</v>
      </c>
      <c r="K10" t="n">
        <v>3</v>
      </c>
      <c r="L10" t="n">
        <v>17</v>
      </c>
      <c r="M10" t="n">
        <v>5</v>
      </c>
      <c r="N10" t="n">
        <v>0</v>
      </c>
      <c r="O10" t="n">
        <v>0</v>
      </c>
      <c r="P10" t="n">
        <v>0</v>
      </c>
      <c r="Q10" t="n">
        <v>22</v>
      </c>
      <c r="R10" t="n">
        <v>5</v>
      </c>
      <c r="S10" t="n">
        <v>26</v>
      </c>
      <c r="T10" t="n">
        <v>106</v>
      </c>
      <c r="U10" t="n">
        <v>106</v>
      </c>
      <c r="V10"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0">
        <f>HYPERLINK("https://klasma.github.io/Logging_FORSKNINGSRESAN_2026_ARJEPLOG/artfynd/Maskaure Uddnäs avvanm, 4,6 ha artfynd.xlsx", "Maskaure Uddnäs avvanm, 4,6 ha")</f>
        <v/>
      </c>
      <c r="X10">
        <f>HYPERLINK("https://klasma.github.io/Logging_FORSKNINGSRESAN_2026_ARJEPLOG/kartor/Maskaure Uddnäs avvanm, 4,6 ha karta.png", "Maskaure Uddnäs avvanm, 4,6 ha")</f>
        <v/>
      </c>
      <c r="Y10">
        <f>HYPERLINK("https://klasma.github.io/Logging_FORSKNINGSRESAN_2026_ARJEPLOG/kartor_geotiff/Maskaure Uddnäs avvanm, 4,6 ha georefererad karta.tif", "Maskaure Uddnäs avvanm, 4,6 ha")</f>
        <v/>
      </c>
      <c r="AA10">
        <f>HYPERLINK("https://klasma.github.io/Logging_FORSKNINGSRESAN_2026_ARJEPLOG/klagomål/Maskaure Uddnäs avvanm, 4,6 ha FSC-klagomål.docx", "Maskaure Uddnäs avvanm, 4,6 ha")</f>
        <v/>
      </c>
      <c r="AB10">
        <f>HYPERLINK("https://klasma.github.io/Logging_FORSKNINGSRESAN_2026_ARJEPLOG/klagomålsmail/Maskaure Uddnäs avvanm, 4,6 ha FSC-klagomål mail.docx", "Maskaure Uddnäs avvanm, 4,6 ha")</f>
        <v/>
      </c>
      <c r="AC10">
        <f>HYPERLINK("https://klasma.github.io/Logging_FORSKNINGSRESAN_2026_ARJEPLOG/tillsyn/Maskaure Uddnäs avvanm, 4,6 ha tillsynsbegäran.docx", "Maskaure Uddnäs avvanm, 4,6 ha")</f>
        <v/>
      </c>
      <c r="AD10">
        <f>HYPERLINK("https://klasma.github.io/Logging_FORSKNINGSRESAN_2026_ARJEPLOG/tillsynsmail/Maskaure Uddnäs avvanm, 4,6 ha tillsynsbegäran mail.docx", "Maskaure Uddnäs avvanm, 4,6 ha")</f>
        <v/>
      </c>
      <c r="AE10">
        <f>HYPERLINK("https://klasma.github.io/Logging_FORSKNINGSRESAN_2026_ARJEPLOG/fåglar/Maskaure Uddnäs avvanm, 4,6 ha prioriterade fågelarter.docx", "Maskaure Uddnäs avvanm, 4,6 ha")</f>
        <v/>
      </c>
      <c r="AF10" t="inlineStr">
        <is>
          <t>Barrblandskog med äldre gran, nyckelbiotop, avvanm</t>
        </is>
      </c>
      <c r="AG10" t="n">
        <v>1</v>
      </c>
      <c r="AH10" t="inlineStr">
        <is>
          <t>Privat</t>
        </is>
      </c>
      <c r="AI10" t="inlineStr">
        <is>
          <t>Ons: Gr 3</t>
        </is>
      </c>
      <c r="AJ10" t="inlineStr">
        <is>
          <t>A 37442-2025</t>
        </is>
      </c>
    </row>
    <row r="11" ht="15" customHeight="1">
      <c r="A11" t="inlineStr">
        <is>
          <t>Västra Kikkejaure Rengärdet avvanm</t>
        </is>
      </c>
      <c r="B11" t="inlineStr">
        <is>
          <t>inventeringsområde</t>
        </is>
      </c>
      <c r="D11" s="1" t="n">
        <v>46223</v>
      </c>
      <c r="E11" s="1" t="n">
        <v>46226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61</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HYPERLINK("https://klasma.github.io/Logging_FORSKNINGSRESAN_2026_ARJEPLOG/artfynd/Västra Kikkejaure Rengärdet avvanm artfynd.xlsx", "Västra Kikkejaure Rengärdet avvanm")</f>
        <v/>
      </c>
      <c r="X11">
        <f>HYPERLINK("https://klasma.github.io/Logging_FORSKNINGSRESAN_2026_ARJEPLOG/kartor/Västra Kikkejaure Rengärdet avvanm karta.png", "Västra Kikkejaure Rengärdet avvanm")</f>
        <v/>
      </c>
      <c r="Y11">
        <f>HYPERLINK("https://klasma.github.io/Logging_FORSKNINGSRESAN_2026_ARJEPLOG/kartor_geotiff/Västra Kikkejaure Rengärdet avvanm georefererad karta.tif", "Västra Kikkejaure Rengärdet avvanm")</f>
        <v/>
      </c>
      <c r="AA11">
        <f>HYPERLINK("https://klasma.github.io/Logging_FORSKNINGSRESAN_2026_ARJEPLOG/klagomål/Västra Kikkejaure Rengärdet avvanm FSC-klagomål.docx", "Västra Kikkejaure Rengärdet avvanm")</f>
        <v/>
      </c>
      <c r="AB11">
        <f>HYPERLINK("https://klasma.github.io/Logging_FORSKNINGSRESAN_2026_ARJEPLOG/klagomålsmail/Västra Kikkejaure Rengärdet avvanm FSC-klagomål mail.docx", "Västra Kikkejaure Rengärdet avvanm")</f>
        <v/>
      </c>
      <c r="AC11">
        <f>HYPERLINK("https://klasma.github.io/Logging_FORSKNINGSRESAN_2026_ARJEPLOG/tillsyn/Västra Kikkejaure Rengärdet avvanm tillsynsbegäran.docx", "Västra Kikkejaure Rengärdet avvanm")</f>
        <v/>
      </c>
      <c r="AD11">
        <f>HYPERLINK("https://klasma.github.io/Logging_FORSKNINGSRESAN_2026_ARJEPLOG/tillsynsmail/Västra Kikkejaure Rengärdet avvanm tillsynsbegäran mail.docx", "Västra Kikkejaure Rengärdet avvanm")</f>
        <v/>
      </c>
      <c r="AE11">
        <f>HYPERLINK("https://klasma.github.io/Logging_FORSKNINGSRESAN_2026_ARJEPLOG/fåglar/Västra Kikkejaure Rengärdet avvanm prioriterade fågelarter.docx", "Västra Kikkejaure Rengärdet avvanm")</f>
        <v/>
      </c>
      <c r="AF11" t="inlineStr">
        <is>
          <t>Delvis inventerad av Fältbiologerna, komplettera! avvanm</t>
        </is>
      </c>
      <c r="AG11" t="n">
        <v>1</v>
      </c>
      <c r="AH11" t="inlineStr">
        <is>
          <t>Allmännings- och besparingsskogar</t>
        </is>
      </c>
      <c r="AI11" t="inlineStr">
        <is>
          <t>Tis: Gr 2 (prio 2)</t>
        </is>
      </c>
      <c r="AJ11" t="inlineStr">
        <is>
          <t>A 26954-2022</t>
        </is>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8</v>
      </c>
      <c r="N12" t="n">
        <v>0</v>
      </c>
      <c r="O12" t="n">
        <v>1</v>
      </c>
      <c r="P12" t="n">
        <v>0</v>
      </c>
      <c r="Q12" t="n">
        <v>21</v>
      </c>
      <c r="R12" t="n">
        <v>9</v>
      </c>
      <c r="S12" t="n">
        <v>24</v>
      </c>
      <c r="T12" t="n">
        <v>80</v>
      </c>
      <c r="U12" t="n">
        <v>48</v>
      </c>
      <c r="V12"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Njuöniesvárrie NV avvanm</t>
        </is>
      </c>
      <c r="B13" t="inlineStr">
        <is>
          <t>inventeringsområde</t>
        </is>
      </c>
      <c r="D13" s="1" t="n">
        <v>46223</v>
      </c>
      <c r="E13" s="1" t="n">
        <v>46226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HYPERLINK("https://klasma.github.io/Logging_FORSKNINGSRESAN_2026_ARJEPLOG/artfynd/Njuöniesvárrie NV avvanm artfynd.xlsx", "Njuöniesvárrie NV avvanm")</f>
        <v/>
      </c>
      <c r="X13">
        <f>HYPERLINK("https://klasma.github.io/Logging_FORSKNINGSRESAN_2026_ARJEPLOG/kartor/Njuöniesvárrie NV avvanm karta.png", "Njuöniesvárrie NV avvanm")</f>
        <v/>
      </c>
      <c r="Y13">
        <f>HYPERLINK("https://klasma.github.io/Logging_FORSKNINGSRESAN_2026_ARJEPLOG/kartor_geotiff/Njuöniesvárrie NV avvanm georefererad karta.tif", "Njuöniesvárrie NV avvanm")</f>
        <v/>
      </c>
      <c r="Z13">
        <f>HYPERLINK("https://klasma.github.io/Logging_FORSKNINGSRESAN_2026_ARJEPLOG/knärot/Njuöniesvárrie NV avvanm karta knärot.png", "Njuöniesvárrie NV avvanm")</f>
        <v/>
      </c>
      <c r="AA13">
        <f>HYPERLINK("https://klasma.github.io/Logging_FORSKNINGSRESAN_2026_ARJEPLOG/klagomål/Njuöniesvárrie NV avvanm FSC-klagomål.docx", "Njuöniesvárrie NV avvanm")</f>
        <v/>
      </c>
      <c r="AB13">
        <f>HYPERLINK("https://klasma.github.io/Logging_FORSKNINGSRESAN_2026_ARJEPLOG/klagomålsmail/Njuöniesvárrie NV avvanm FSC-klagomål mail.docx", "Njuöniesvárrie NV avvanm")</f>
        <v/>
      </c>
      <c r="AC13">
        <f>HYPERLINK("https://klasma.github.io/Logging_FORSKNINGSRESAN_2026_ARJEPLOG/tillsyn/Njuöniesvárrie NV avvanm tillsynsbegäran.docx", "Njuöniesvárrie NV avvanm")</f>
        <v/>
      </c>
      <c r="AD13">
        <f>HYPERLINK("https://klasma.github.io/Logging_FORSKNINGSRESAN_2026_ARJEPLOG/tillsynsmail/Njuöniesvárrie NV avvanm tillsynsbegäran mail.docx", "Njuöniesvárrie NV avvanm")</f>
        <v/>
      </c>
      <c r="AE13">
        <f>HYPERLINK("https://klasma.github.io/Logging_FORSKNINGSRESAN_2026_ARJEPLOG/fåglar/Njuöniesvárrie NV avvanm prioriterade fågelarter.docx", "Njuöniesvárrie NV avvanm")</f>
        <v/>
      </c>
      <c r="AF13" t="inlineStr">
        <is>
          <t>Barrblandskog, eventuellt bom!! avvanm</t>
        </is>
      </c>
      <c r="AG13" t="n">
        <v>1</v>
      </c>
      <c r="AH13" t="inlineStr">
        <is>
          <t>Allmännings- och besparingsskogar</t>
        </is>
      </c>
      <c r="AI13" t="n">
        <v/>
      </c>
      <c r="AJ13" t="n">
        <v/>
      </c>
    </row>
    <row r="14" ht="15" customHeight="1">
      <c r="A14" t="inlineStr">
        <is>
          <t>Maskaure Långmyran SV, 6,8 ha</t>
        </is>
      </c>
      <c r="B14" t="inlineStr">
        <is>
          <t>inventeringsområde</t>
        </is>
      </c>
      <c r="D14" s="1" t="n">
        <v>46223</v>
      </c>
      <c r="E14" s="1" t="n">
        <v>46226</v>
      </c>
      <c r="F14" t="inlineStr">
        <is>
          <t>Norrbottens län</t>
        </is>
      </c>
      <c r="G14" t="inlineStr">
        <is>
          <t>Arjeplog</t>
        </is>
      </c>
      <c r="H14" t="inlineStr">
        <is>
          <t>Sveaskog</t>
        </is>
      </c>
      <c r="I14" t="n">
        <v>6.9</v>
      </c>
      <c r="J14" t="n">
        <v>2</v>
      </c>
      <c r="K14" t="n">
        <v>1</v>
      </c>
      <c r="L14" t="n">
        <v>15</v>
      </c>
      <c r="M14" t="n">
        <v>4</v>
      </c>
      <c r="N14" t="n">
        <v>0</v>
      </c>
      <c r="O14" t="n">
        <v>0</v>
      </c>
      <c r="P14" t="n">
        <v>0</v>
      </c>
      <c r="Q14" t="n">
        <v>19</v>
      </c>
      <c r="R14" t="n">
        <v>4</v>
      </c>
      <c r="S14" t="n">
        <v>22</v>
      </c>
      <c r="T14" t="n">
        <v>57</v>
      </c>
      <c r="U14" t="n">
        <v>49</v>
      </c>
      <c r="V14"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4">
        <f>HYPERLINK("https://klasma.github.io/Logging_FORSKNINGSRESAN_2026_ARJEPLOG/artfynd/Maskaure Långmyran SV, 6,8 ha artfynd.xlsx", "Maskaure Långmyran SV, 6,8 ha")</f>
        <v/>
      </c>
      <c r="X14">
        <f>HYPERLINK("https://klasma.github.io/Logging_FORSKNINGSRESAN_2026_ARJEPLOG/kartor/Maskaure Långmyran SV, 6,8 ha karta.png", "Maskaure Långmyran SV, 6,8 ha")</f>
        <v/>
      </c>
      <c r="Y14">
        <f>HYPERLINK("https://klasma.github.io/Logging_FORSKNINGSRESAN_2026_ARJEPLOG/kartor_geotiff/Maskaure Långmyran SV, 6,8 ha georefererad karta.tif", "Maskaure Långmyran SV, 6,8 ha")</f>
        <v/>
      </c>
      <c r="AA14">
        <f>HYPERLINK("https://klasma.github.io/Logging_FORSKNINGSRESAN_2026_ARJEPLOG/klagomål/Maskaure Långmyran SV, 6,8 ha FSC-klagomål.docx", "Maskaure Långmyran SV, 6,8 ha")</f>
        <v/>
      </c>
      <c r="AB14">
        <f>HYPERLINK("https://klasma.github.io/Logging_FORSKNINGSRESAN_2026_ARJEPLOG/klagomålsmail/Maskaure Långmyran SV, 6,8 ha FSC-klagomål mail.docx", "Maskaure Långmyran SV, 6,8 ha")</f>
        <v/>
      </c>
      <c r="AC14">
        <f>HYPERLINK("https://klasma.github.io/Logging_FORSKNINGSRESAN_2026_ARJEPLOG/tillsyn/Maskaure Långmyran SV, 6,8 ha tillsynsbegäran.docx", "Maskaure Långmyran SV, 6,8 ha")</f>
        <v/>
      </c>
      <c r="AD14">
        <f>HYPERLINK("https://klasma.github.io/Logging_FORSKNINGSRESAN_2026_ARJEPLOG/tillsynsmail/Maskaure Långmyran SV, 6,8 ha tillsynsbegäran mail.docx", "Maskaure Långmyran SV, 6,8 ha")</f>
        <v/>
      </c>
      <c r="AE14">
        <f>HYPERLINK("https://klasma.github.io/Logging_FORSKNINGSRESAN_2026_ARJEPLOG/fåglar/Maskaure Långmyran SV, 6,8 ha prioriterade fågelarter.docx", "Maskaure Långmyran SV, 6,8 ha")</f>
        <v/>
      </c>
      <c r="AF14" t="n">
        <v/>
      </c>
      <c r="AG14" t="n">
        <v>1</v>
      </c>
      <c r="AH14" t="inlineStr">
        <is>
          <t>Sveaskog</t>
        </is>
      </c>
      <c r="AI14" t="inlineStr">
        <is>
          <t>Ons: Gr 3</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9</v>
      </c>
      <c r="K15" t="n">
        <v>1</v>
      </c>
      <c r="L15" t="n">
        <v>14</v>
      </c>
      <c r="M15" t="n">
        <v>1</v>
      </c>
      <c r="N15" t="n">
        <v>0</v>
      </c>
      <c r="O15" t="n">
        <v>0</v>
      </c>
      <c r="P15" t="n">
        <v>0</v>
      </c>
      <c r="Q15" t="n">
        <v>15</v>
      </c>
      <c r="R15" t="n">
        <v>1</v>
      </c>
      <c r="S15" t="n">
        <v>19</v>
      </c>
      <c r="T15" t="n">
        <v>54</v>
      </c>
      <c r="U15" t="n">
        <v>38</v>
      </c>
      <c r="V15" s="2" t="inlineStr">
        <is>
          <t>Fläckporing
Blanksvart spiklav
Drillsnäppa
Dropptaggsvamp
Duvhök
Dvärgbägarlav
Kortskaftad ärgspik
Lavskrika
Nordtagging
Talltagel
Talltita
Tretåig hackspett
Vedflamlav
Vedskivlav
Älg
Plattlummer
Spillkråka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Juvtábákte utvidgning S</t>
        </is>
      </c>
      <c r="B16" t="inlineStr">
        <is>
          <t>inventeringsområde</t>
        </is>
      </c>
      <c r="D16" s="1" t="n">
        <v>46223</v>
      </c>
      <c r="E16" s="1" t="n">
        <v>46226</v>
      </c>
      <c r="F16" t="inlineStr">
        <is>
          <t>Norrbottens län</t>
        </is>
      </c>
      <c r="G16" t="inlineStr">
        <is>
          <t>Arjeplog</t>
        </is>
      </c>
      <c r="H16" t="inlineStr">
        <is>
          <t>Övriga statliga verk och myndigheter</t>
        </is>
      </c>
      <c r="I16" t="n">
        <v>143</v>
      </c>
      <c r="J16" t="n">
        <v>9</v>
      </c>
      <c r="K16" t="n">
        <v>4</v>
      </c>
      <c r="L16" t="n">
        <v>9</v>
      </c>
      <c r="M16" t="n">
        <v>0</v>
      </c>
      <c r="N16" t="n">
        <v>0</v>
      </c>
      <c r="O16" t="n">
        <v>0</v>
      </c>
      <c r="P16" t="n">
        <v>0</v>
      </c>
      <c r="Q16" t="n">
        <v>9</v>
      </c>
      <c r="R16" t="n">
        <v>0</v>
      </c>
      <c r="S16" t="n">
        <v>17</v>
      </c>
      <c r="T16" t="n">
        <v>23</v>
      </c>
      <c r="U16" t="n">
        <v>1</v>
      </c>
      <c r="V16" s="2" t="inlineStr">
        <is>
          <t>Blå taggsvamp
Dropptaggsvamp
Lappmes
Lavskrika
Skarp dropptaggsvamp
Stickelfrö
Talltagel
Tretåig hackspett
Ullticka
Nordlig fjädermossa
Plattlummer
Spindelblomster
Ögonpyrola
Mattlummer
Brudsporre
Fläcknycklar
Revlummer</t>
        </is>
      </c>
      <c r="W16">
        <f>HYPERLINK("https://klasma.github.io/Logging_FORSKNINGSRESAN_2026_ARJEPLOG/artfynd/Juvtábákte utvidgning S artfynd.xlsx", "Juvtábákte utvidgning S")</f>
        <v/>
      </c>
      <c r="X16">
        <f>HYPERLINK("https://klasma.github.io/Logging_FORSKNINGSRESAN_2026_ARJEPLOG/kartor/Juvtábákte utvidgning S karta.png", "Juvtábákte utvidgning S")</f>
        <v/>
      </c>
      <c r="Y16">
        <f>HYPERLINK("https://klasma.github.io/Logging_FORSKNINGSRESAN_2026_ARJEPLOG/kartor_geotiff/Juvtábákte utvidgning S georefererad karta.tif", "Juvtábákte utvidgning S")</f>
        <v/>
      </c>
      <c r="AA16">
        <f>HYPERLINK("https://klasma.github.io/Logging_FORSKNINGSRESAN_2026_ARJEPLOG/klagomål/Juvtábákte utvidgning S FSC-klagomål.docx", "Juvtábákte utvidgning S")</f>
        <v/>
      </c>
      <c r="AB16">
        <f>HYPERLINK("https://klasma.github.io/Logging_FORSKNINGSRESAN_2026_ARJEPLOG/klagomålsmail/Juvtábákte utvidgning S FSC-klagomål mail.docx", "Juvtábákte utvidgning S")</f>
        <v/>
      </c>
      <c r="AC16">
        <f>HYPERLINK("https://klasma.github.io/Logging_FORSKNINGSRESAN_2026_ARJEPLOG/tillsyn/Juvtábákte utvidgning S tillsynsbegäran.docx", "Juvtábákte utvidgning S")</f>
        <v/>
      </c>
      <c r="AD16">
        <f>HYPERLINK("https://klasma.github.io/Logging_FORSKNINGSRESAN_2026_ARJEPLOG/tillsynsmail/Juvtábákte utvidgning S tillsynsbegäran mail.docx", "Juvtábákte utvidgning S")</f>
        <v/>
      </c>
      <c r="AE16">
        <f>HYPERLINK("https://klasma.github.io/Logging_FORSKNINGSRESAN_2026_ARJEPLOG/fåglar/Juvtábákte utvidgning S prioriterade fågelarter.docx", "Juvtábákte utvidgning S")</f>
        <v/>
      </c>
      <c r="AF16" t="inlineStr">
        <is>
          <t>Avskrevs på samr.möte 171116. Samr. m SFV gäller ej längre. Inv 2022 + branten på priv.m. Ö om. Viktigt för att få ner reservatet till allmän väg, vilket ökar tillgängligheten. Bytt namn 230314 till ...Silvervägen. /FF Bör ingå i planerat</t>
        </is>
      </c>
      <c r="AG16" t="n">
        <v>2</v>
      </c>
      <c r="AH16" t="inlineStr">
        <is>
          <t>Fastighetsverket</t>
        </is>
      </c>
      <c r="AI16" t="inlineStr">
        <is>
          <t>Tis: Gr 4</t>
        </is>
      </c>
      <c r="AJ16" t="n">
        <v/>
      </c>
    </row>
    <row r="17" ht="15" customHeight="1">
      <c r="A17" t="inlineStr">
        <is>
          <t>Maskaure Myrås avvanm, 5 ha</t>
        </is>
      </c>
      <c r="B17" t="inlineStr">
        <is>
          <t>inventeringsområde</t>
        </is>
      </c>
      <c r="D17" s="1" t="n">
        <v>46223</v>
      </c>
      <c r="E17" s="1" t="n">
        <v>46226</v>
      </c>
      <c r="F17" t="inlineStr">
        <is>
          <t>Norrbottens län</t>
        </is>
      </c>
      <c r="G17" t="inlineStr">
        <is>
          <t>Arjeplog</t>
        </is>
      </c>
      <c r="I17" t="n">
        <v>5</v>
      </c>
      <c r="J17" t="n">
        <v>2</v>
      </c>
      <c r="K17" t="n">
        <v>2</v>
      </c>
      <c r="L17" t="n">
        <v>12</v>
      </c>
      <c r="M17" t="n">
        <v>2</v>
      </c>
      <c r="N17" t="n">
        <v>0</v>
      </c>
      <c r="O17" t="n">
        <v>0</v>
      </c>
      <c r="P17" t="n">
        <v>0</v>
      </c>
      <c r="Q17" t="n">
        <v>14</v>
      </c>
      <c r="R17" t="n">
        <v>2</v>
      </c>
      <c r="S17" t="n">
        <v>16</v>
      </c>
      <c r="T17" t="n">
        <v>52</v>
      </c>
      <c r="U17" t="n">
        <v>37</v>
      </c>
      <c r="V17" s="2" t="inlineStr">
        <is>
          <t>Garnlav
Gränsticka
Blanksvart spiklav
Blågrå svartspik
Dvärgbägarlav
Gammelgransskål
Knottrig blåslav
Kolflarnlav
Kortskaftad ärgspik
Mörk kolflarnlav
Talltagel
Tretåig hackspett
Vedflamlav
Vedskivlav
Spindelblomster
Vedticka</t>
        </is>
      </c>
      <c r="W17">
        <f>HYPERLINK("https://klasma.github.io/Logging_FORSKNINGSRESAN_2026_ARJEPLOG/artfynd/Maskaure Myrås avvanm, 5 ha artfynd.xlsx", "Maskaure Myrås avvanm, 5 ha")</f>
        <v/>
      </c>
      <c r="X17">
        <f>HYPERLINK("https://klasma.github.io/Logging_FORSKNINGSRESAN_2026_ARJEPLOG/kartor/Maskaure Myrås avvanm, 5 ha karta.png", "Maskaure Myrås avvanm, 5 ha")</f>
        <v/>
      </c>
      <c r="Y17">
        <f>HYPERLINK("https://klasma.github.io/Logging_FORSKNINGSRESAN_2026_ARJEPLOG/kartor_geotiff/Maskaure Myrås avvanm, 5 ha georefererad karta.tif", "Maskaure Myrås avvanm, 5 ha")</f>
        <v/>
      </c>
      <c r="AA17">
        <f>HYPERLINK("https://klasma.github.io/Logging_FORSKNINGSRESAN_2026_ARJEPLOG/klagomål/Maskaure Myrås avvanm, 5 ha FSC-klagomål.docx", "Maskaure Myrås avvanm, 5 ha")</f>
        <v/>
      </c>
      <c r="AB17">
        <f>HYPERLINK("https://klasma.github.io/Logging_FORSKNINGSRESAN_2026_ARJEPLOG/klagomålsmail/Maskaure Myrås avvanm, 5 ha FSC-klagomål mail.docx", "Maskaure Myrås avvanm, 5 ha")</f>
        <v/>
      </c>
      <c r="AC17">
        <f>HYPERLINK("https://klasma.github.io/Logging_FORSKNINGSRESAN_2026_ARJEPLOG/tillsyn/Maskaure Myrås avvanm, 5 ha tillsynsbegäran.docx", "Maskaure Myrås avvanm, 5 ha")</f>
        <v/>
      </c>
      <c r="AD17">
        <f>HYPERLINK("https://klasma.github.io/Logging_FORSKNINGSRESAN_2026_ARJEPLOG/tillsynsmail/Maskaure Myrås avvanm, 5 ha tillsynsbegäran mail.docx", "Maskaure Myrås avvanm, 5 ha")</f>
        <v/>
      </c>
      <c r="AE17">
        <f>HYPERLINK("https://klasma.github.io/Logging_FORSKNINGSRESAN_2026_ARJEPLOG/fåglar/Maskaure Myrås avvanm, 5 ha prioriterade fågelarter.docx", "Maskaure Myrås avvanm, 5 ha")</f>
        <v/>
      </c>
      <c r="AF17" t="inlineStr">
        <is>
          <t>avvanm, delvis inventerad</t>
        </is>
      </c>
      <c r="AG17" t="n">
        <v>1</v>
      </c>
      <c r="AH17" t="inlineStr">
        <is>
          <t>Privat</t>
        </is>
      </c>
      <c r="AI17" t="inlineStr">
        <is>
          <t>Ons: Gr 2 (prio 2)</t>
        </is>
      </c>
      <c r="AJ17" t="inlineStr">
        <is>
          <t>A 64837-2023</t>
        </is>
      </c>
    </row>
    <row r="18" ht="15" customHeight="1">
      <c r="A18" t="inlineStr">
        <is>
          <t>Bremudden avvanm</t>
        </is>
      </c>
      <c r="B18" t="inlineStr">
        <is>
          <t>inventeringsområde</t>
        </is>
      </c>
      <c r="D18" s="1" t="n">
        <v>46223</v>
      </c>
      <c r="E18" s="1" t="n">
        <v>46226</v>
      </c>
      <c r="F18" t="inlineStr">
        <is>
          <t>Norrbottens län</t>
        </is>
      </c>
      <c r="G18" t="inlineStr">
        <is>
          <t>Arjeplog</t>
        </is>
      </c>
      <c r="I18" t="n">
        <v>19.7</v>
      </c>
      <c r="J18" t="n">
        <v>4</v>
      </c>
      <c r="K18" t="n">
        <v>0</v>
      </c>
      <c r="L18" t="n">
        <v>10</v>
      </c>
      <c r="M18" t="n">
        <v>3</v>
      </c>
      <c r="N18" t="n">
        <v>0</v>
      </c>
      <c r="O18" t="n">
        <v>0</v>
      </c>
      <c r="P18" t="n">
        <v>0</v>
      </c>
      <c r="Q18" t="n">
        <v>13</v>
      </c>
      <c r="R18" t="n">
        <v>3</v>
      </c>
      <c r="S18" t="n">
        <v>16</v>
      </c>
      <c r="T18" t="n">
        <v>20</v>
      </c>
      <c r="U18" t="n">
        <v>20</v>
      </c>
      <c r="V18" s="2" t="inlineStr">
        <is>
          <t>Fläckporing
Garnlav
Gräddporing
Blanksvart spiklav
Dvärgbägarlav
Grå blåbärsfältmätare
Mörk kolflarnlav
Talltagel
Talltita
Vedflamlav
Vedskivlav
Vitplätt
Älg
Tjäder
Vanlig groda
Revlummer</t>
        </is>
      </c>
      <c r="W18">
        <f>HYPERLINK("https://klasma.github.io/Logging_FORSKNINGSRESAN_2026_ARJEPLOG/artfynd/Bremudden avvanm artfynd.xlsx", "Bremudden avvanm")</f>
        <v/>
      </c>
      <c r="X18">
        <f>HYPERLINK("https://klasma.github.io/Logging_FORSKNINGSRESAN_2026_ARJEPLOG/kartor/Bremudden avvanm karta.png", "Bremudden avvanm")</f>
        <v/>
      </c>
      <c r="Y18">
        <f>HYPERLINK("https://klasma.github.io/Logging_FORSKNINGSRESAN_2026_ARJEPLOG/kartor_geotiff/Bremudden avvanm georefererad karta.tif", "Bremudden avvanm")</f>
        <v/>
      </c>
      <c r="AA18">
        <f>HYPERLINK("https://klasma.github.io/Logging_FORSKNINGSRESAN_2026_ARJEPLOG/klagomål/Bremudden avvanm FSC-klagomål.docx", "Bremudden avvanm")</f>
        <v/>
      </c>
      <c r="AB18">
        <f>HYPERLINK("https://klasma.github.io/Logging_FORSKNINGSRESAN_2026_ARJEPLOG/klagomålsmail/Bremudden avvanm FSC-klagomål mail.docx", "Bremudden avvanm")</f>
        <v/>
      </c>
      <c r="AC18">
        <f>HYPERLINK("https://klasma.github.io/Logging_FORSKNINGSRESAN_2026_ARJEPLOG/tillsyn/Bremudden avvanm tillsynsbegäran.docx", "Bremudden avvanm")</f>
        <v/>
      </c>
      <c r="AD18">
        <f>HYPERLINK("https://klasma.github.io/Logging_FORSKNINGSRESAN_2026_ARJEPLOG/tillsynsmail/Bremudden avvanm tillsynsbegäran mail.docx", "Bremudden avvanm")</f>
        <v/>
      </c>
      <c r="AE18">
        <f>HYPERLINK("https://klasma.github.io/Logging_FORSKNINGSRESAN_2026_ARJEPLOG/fåglar/Bremudden avvanm prioriterade fågelarter.docx", "Bremudden avvanm")</f>
        <v/>
      </c>
      <c r="AF18" t="inlineStr">
        <is>
          <t>avvanm</t>
        </is>
      </c>
      <c r="AG18" t="n">
        <v/>
      </c>
      <c r="AH18" t="inlineStr">
        <is>
          <t>Privat</t>
        </is>
      </c>
      <c r="AI18" t="inlineStr">
        <is>
          <t>Tis: Gr 1 (prio 2)</t>
        </is>
      </c>
      <c r="AJ18" t="inlineStr">
        <is>
          <t>A 24892-2026</t>
        </is>
      </c>
    </row>
    <row r="19" ht="15" customHeight="1">
      <c r="A19" t="inlineStr">
        <is>
          <t>S om Kvarntjärnen</t>
        </is>
      </c>
      <c r="B19" t="inlineStr">
        <is>
          <t>inventeringsområde</t>
        </is>
      </c>
      <c r="D19" s="1" t="n">
        <v>46223</v>
      </c>
      <c r="E19" s="1" t="n">
        <v>46226</v>
      </c>
      <c r="F19" t="inlineStr">
        <is>
          <t>Norrbottens län</t>
        </is>
      </c>
      <c r="G19" t="inlineStr">
        <is>
          <t>Arjeplog</t>
        </is>
      </c>
      <c r="H19" t="inlineStr">
        <is>
          <t>Sveaskog</t>
        </is>
      </c>
      <c r="I19" t="n">
        <v>27.7</v>
      </c>
      <c r="J19" t="n">
        <v>4</v>
      </c>
      <c r="K19" t="n">
        <v>3</v>
      </c>
      <c r="L19" t="n">
        <v>9</v>
      </c>
      <c r="M19" t="n">
        <v>2</v>
      </c>
      <c r="N19" t="n">
        <v>1</v>
      </c>
      <c r="O19" t="n">
        <v>0</v>
      </c>
      <c r="P19" t="n">
        <v>0</v>
      </c>
      <c r="Q19" t="n">
        <v>12</v>
      </c>
      <c r="R19" t="n">
        <v>3</v>
      </c>
      <c r="S19" t="n">
        <v>15</v>
      </c>
      <c r="T19" t="n">
        <v>82</v>
      </c>
      <c r="U19" t="n">
        <v>82</v>
      </c>
      <c r="V19" s="2" t="inlineStr">
        <is>
          <t>Lusporing
Garnlav
Gräddporing
Blanksvart spiklav
Dropptaggsvamp
Dvärgbägarlav
Lavskrika
Nordtagging
Talltagel
Talltita
Tretåig hackspett
Vedskivlav
Norrlandslav
Plattlummer
Vedticka</t>
        </is>
      </c>
      <c r="W19">
        <f>HYPERLINK("https://klasma.github.io/Logging_FORSKNINGSRESAN_2026_ARJEPLOG/artfynd/S om Kvarntjärnen artfynd.xlsx", "S om Kvarntjärnen")</f>
        <v/>
      </c>
      <c r="X19">
        <f>HYPERLINK("https://klasma.github.io/Logging_FORSKNINGSRESAN_2026_ARJEPLOG/kartor/S om Kvarntjärnen karta.png", "S om Kvarntjärnen")</f>
        <v/>
      </c>
      <c r="Y19">
        <f>HYPERLINK("https://klasma.github.io/Logging_FORSKNINGSRESAN_2026_ARJEPLOG/kartor_geotiff/S om Kvarntjärnen georefererad karta.tif", "S om Kvarntjärnen")</f>
        <v/>
      </c>
      <c r="AA19">
        <f>HYPERLINK("https://klasma.github.io/Logging_FORSKNINGSRESAN_2026_ARJEPLOG/klagomål/S om Kvarntjärnen FSC-klagomål.docx", "S om Kvarntjärnen")</f>
        <v/>
      </c>
      <c r="AB19">
        <f>HYPERLINK("https://klasma.github.io/Logging_FORSKNINGSRESAN_2026_ARJEPLOG/klagomålsmail/S om Kvarntjärnen FSC-klagomål mail.docx", "S om Kvarntjärnen")</f>
        <v/>
      </c>
      <c r="AC19">
        <f>HYPERLINK("https://klasma.github.io/Logging_FORSKNINGSRESAN_2026_ARJEPLOG/tillsyn/S om Kvarntjärnen tillsynsbegäran.docx", "S om Kvarntjärnen")</f>
        <v/>
      </c>
      <c r="AD19">
        <f>HYPERLINK("https://klasma.github.io/Logging_FORSKNINGSRESAN_2026_ARJEPLOG/tillsynsmail/S om Kvarntjärnen tillsynsbegäran mail.docx", "S om Kvarntjärnen")</f>
        <v/>
      </c>
      <c r="AE19">
        <f>HYPERLINK("https://klasma.github.io/Logging_FORSKNINGSRESAN_2026_ARJEPLOG/fåglar/S om Kvarntjärnen prioriterade fågelarter.docx", "S om Kvarntjärnen")</f>
        <v/>
      </c>
      <c r="AF19" t="inlineStr">
        <is>
          <t>Ser bra ut från vägen, bom öppen.</t>
        </is>
      </c>
      <c r="AG19" t="n">
        <v>10</v>
      </c>
      <c r="AH19" t="inlineStr">
        <is>
          <t>Sveaskog</t>
        </is>
      </c>
      <c r="AI19" t="inlineStr">
        <is>
          <t>Tis: Gr 2 (prio 3)</t>
        </is>
      </c>
      <c r="AJ19" t="n">
        <v/>
      </c>
    </row>
    <row r="20" ht="15" customHeight="1">
      <c r="A20" t="inlineStr">
        <is>
          <t>Muorkenåive-Ássjátj S</t>
        </is>
      </c>
      <c r="B20" t="inlineStr">
        <is>
          <t>inventeringsområde</t>
        </is>
      </c>
      <c r="D20" s="1" t="n">
        <v>46223</v>
      </c>
      <c r="E20" s="1" t="n">
        <v>46226</v>
      </c>
      <c r="F20" t="inlineStr">
        <is>
          <t>Norrbottens län</t>
        </is>
      </c>
      <c r="G20" t="inlineStr">
        <is>
          <t>Arjeplog</t>
        </is>
      </c>
      <c r="I20" t="n">
        <v>113.6</v>
      </c>
      <c r="J20" t="n">
        <v>0</v>
      </c>
      <c r="K20" t="n">
        <v>4</v>
      </c>
      <c r="L20" t="n">
        <v>7</v>
      </c>
      <c r="M20" t="n">
        <v>4</v>
      </c>
      <c r="N20" t="n">
        <v>0</v>
      </c>
      <c r="O20" t="n">
        <v>0</v>
      </c>
      <c r="P20" t="n">
        <v>0</v>
      </c>
      <c r="Q20" t="n">
        <v>11</v>
      </c>
      <c r="R20" t="n">
        <v>4</v>
      </c>
      <c r="S20" t="n">
        <v>15</v>
      </c>
      <c r="T20" t="n">
        <v>17</v>
      </c>
      <c r="U20" t="n">
        <v>5</v>
      </c>
      <c r="V20" s="2" t="inlineStr">
        <is>
          <t>Grantickeporing
Gränsticka
Ostticka
Vitskaftad svartspik
Gammelgransskål
Harticka
Knottrig blåslav
Rosenticka
Rynkskinn
Ullticka
Violmussling
Blodticka
Stuplav
Trådticka
Ögonpyrola</t>
        </is>
      </c>
      <c r="W20">
        <f>HYPERLINK("https://klasma.github.io/Logging_FORSKNINGSRESAN_2026_ARJEPLOG/artfynd/Muorkenåive-Ássjátj S artfynd.xlsx", "Muorkenåive-Ássjátj S")</f>
        <v/>
      </c>
      <c r="X20">
        <f>HYPERLINK("https://klasma.github.io/Logging_FORSKNINGSRESAN_2026_ARJEPLOG/kartor/Muorkenåive-Ássjátj S karta.png", "Muorkenåive-Ássjátj S")</f>
        <v/>
      </c>
      <c r="Y20">
        <f>HYPERLINK("https://klasma.github.io/Logging_FORSKNINGSRESAN_2026_ARJEPLOG/kartor_geotiff/Muorkenåive-Ássjátj S georefererad karta.tif", "Muorkenåive-Ássjátj S")</f>
        <v/>
      </c>
      <c r="AA20">
        <f>HYPERLINK("https://klasma.github.io/Logging_FORSKNINGSRESAN_2026_ARJEPLOG/klagomål/Muorkenåive-Ássjátj S FSC-klagomål.docx", "Muorkenåive-Ássjátj S")</f>
        <v/>
      </c>
      <c r="AB20">
        <f>HYPERLINK("https://klasma.github.io/Logging_FORSKNINGSRESAN_2026_ARJEPLOG/klagomålsmail/Muorkenåive-Ássjátj S FSC-klagomål mail.docx", "Muorkenåive-Ássjátj S")</f>
        <v/>
      </c>
      <c r="AC20">
        <f>HYPERLINK("https://klasma.github.io/Logging_FORSKNINGSRESAN_2026_ARJEPLOG/tillsyn/Muorkenåive-Ássjátj S tillsynsbegäran.docx", "Muorkenåive-Ássjátj S")</f>
        <v/>
      </c>
      <c r="AD20">
        <f>HYPERLINK("https://klasma.github.io/Logging_FORSKNINGSRESAN_2026_ARJEPLOG/tillsynsmail/Muorkenåive-Ássjátj S tillsynsbegäran mail.docx", "Muorkenåive-Ássjátj S")</f>
        <v/>
      </c>
      <c r="AF20" t="inlineStr">
        <is>
          <t>Slagit samman Muorkenåive-privat med Assjatj-privat (lilla) till ett objekt efter fältgenomgång. /FF Behöver inte finkamma, men bra att få in några fynd. kommer avvanm hela tiden.</t>
        </is>
      </c>
      <c r="AG20" t="n">
        <v>1</v>
      </c>
      <c r="AH20" t="inlineStr">
        <is>
          <t>Privat</t>
        </is>
      </c>
      <c r="AI20" t="inlineStr">
        <is>
          <t>Dag Gran: Gr 3</t>
        </is>
      </c>
      <c r="AJ20" t="n">
        <v/>
      </c>
    </row>
    <row r="21" ht="15" customHeight="1">
      <c r="A21" t="inlineStr">
        <is>
          <t>Laisdalen Björkliden</t>
        </is>
      </c>
      <c r="B21" t="inlineStr">
        <is>
          <t>inventeringsområde</t>
        </is>
      </c>
      <c r="D21" s="1" t="n">
        <v>46223</v>
      </c>
      <c r="E21" s="1" t="n">
        <v>46226</v>
      </c>
      <c r="F21" t="inlineStr">
        <is>
          <t>Norrbottens län</t>
        </is>
      </c>
      <c r="G21" t="inlineStr">
        <is>
          <t>Arjeplog</t>
        </is>
      </c>
      <c r="H21" t="inlineStr">
        <is>
          <t>Övriga statliga verk och myndigheter</t>
        </is>
      </c>
      <c r="I21" t="n">
        <v>119.1</v>
      </c>
      <c r="J21" t="n">
        <v>3</v>
      </c>
      <c r="K21" t="n">
        <v>1</v>
      </c>
      <c r="L21" t="n">
        <v>7</v>
      </c>
      <c r="M21" t="n">
        <v>2</v>
      </c>
      <c r="N21" t="n">
        <v>0</v>
      </c>
      <c r="O21" t="n">
        <v>0</v>
      </c>
      <c r="P21" t="n">
        <v>0</v>
      </c>
      <c r="Q21" t="n">
        <v>9</v>
      </c>
      <c r="R21" t="n">
        <v>2</v>
      </c>
      <c r="S21" t="n">
        <v>11</v>
      </c>
      <c r="T21" t="n">
        <v>36</v>
      </c>
      <c r="U21" t="n">
        <v>0</v>
      </c>
      <c r="V21" s="2" t="inlineStr">
        <is>
          <t>Grantickeporing
Ostticka
Gammelgransskål
Harticka
Knottrig blåslav
Lavskrika
Rosenticka
Tretåig hackspett
Ullticka
Trådticka
Tjäder</t>
        </is>
      </c>
      <c r="W21">
        <f>HYPERLINK("https://klasma.github.io/Logging_FORSKNINGSRESAN_2026_ARJEPLOG/artfynd/Laisdalen Björkliden artfynd.xlsx", "Laisdalen Björkliden")</f>
        <v/>
      </c>
      <c r="X21">
        <f>HYPERLINK("https://klasma.github.io/Logging_FORSKNINGSRESAN_2026_ARJEPLOG/kartor/Laisdalen Björkliden karta.png", "Laisdalen Björkliden")</f>
        <v/>
      </c>
      <c r="Y21">
        <f>HYPERLINK("https://klasma.github.io/Logging_FORSKNINGSRESAN_2026_ARJEPLOG/kartor_geotiff/Laisdalen Björkliden georefererad karta.tif", "Laisdalen Björkliden")</f>
        <v/>
      </c>
      <c r="AA21">
        <f>HYPERLINK("https://klasma.github.io/Logging_FORSKNINGSRESAN_2026_ARJEPLOG/klagomål/Laisdalen Björkliden FSC-klagomål.docx", "Laisdalen Björkliden")</f>
        <v/>
      </c>
      <c r="AB21">
        <f>HYPERLINK("https://klasma.github.io/Logging_FORSKNINGSRESAN_2026_ARJEPLOG/klagomålsmail/Laisdalen Björkliden FSC-klagomål mail.docx", "Laisdalen Björkliden")</f>
        <v/>
      </c>
      <c r="AC21">
        <f>HYPERLINK("https://klasma.github.io/Logging_FORSKNINGSRESAN_2026_ARJEPLOG/tillsyn/Laisdalen Björkliden tillsynsbegäran.docx", "Laisdalen Björkliden")</f>
        <v/>
      </c>
      <c r="AD21">
        <f>HYPERLINK("https://klasma.github.io/Logging_FORSKNINGSRESAN_2026_ARJEPLOG/tillsynsmail/Laisdalen Björkliden tillsynsbegäran mail.docx", "Laisdalen Björkliden")</f>
        <v/>
      </c>
      <c r="AE21">
        <f>HYPERLINK("https://klasma.github.io/Logging_FORSKNINGSRESAN_2026_ARJEPLOG/fåglar/Laisdalen Björkliden prioriterade fågelarter.docx", "Laisdalen Björkliden")</f>
        <v/>
      </c>
      <c r="AF21" t="inlineStr">
        <is>
          <t>Trolig granbränna, mycket gamla sälgar, spridd död ved, delvis inventerad</t>
        </is>
      </c>
      <c r="AG21" t="n">
        <v>1</v>
      </c>
      <c r="AH21" t="inlineStr">
        <is>
          <t>SFV</t>
        </is>
      </c>
      <c r="AI21" t="inlineStr">
        <is>
          <t>Dag Gran: Gr 4</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2026-07-23T15:53:13Z</dcterms:created>
  <dcterms:modified xmlns:dcterms="http://purl.org/dc/terms/" xmlns:xsi="http://www.w3.org/2001/XMLSchema-instance" xsi:type="dcterms:W3CDTF">2026-07-23T15:53:13Z</dcterms:modified>
</cp:coreProperties>
</file>