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19</v>
      </c>
      <c r="M3" t="n">
        <v>9</v>
      </c>
      <c r="N3" t="n">
        <v>0</v>
      </c>
      <c r="O3" t="n">
        <v>0</v>
      </c>
      <c r="P3" t="n">
        <v>0</v>
      </c>
      <c r="Q3" t="n">
        <v>28</v>
      </c>
      <c r="R3" t="n">
        <v>9</v>
      </c>
      <c r="S3" t="n">
        <v>52</v>
      </c>
      <c r="T3" t="n">
        <v>373</v>
      </c>
      <c r="U3" t="n">
        <v>337</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Skeletocutis exilis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202</v>
      </c>
      <c r="U7" t="n">
        <v>199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Iksjak-Råssnesudden</t>
        </is>
      </c>
      <c r="B25" t="inlineStr">
        <is>
          <t>inventeringsområde</t>
        </is>
      </c>
      <c r="D25" s="1" t="n">
        <v>46223</v>
      </c>
      <c r="E25" s="1" t="n">
        <v>46227</v>
      </c>
      <c r="F25" t="inlineStr">
        <is>
          <t>Norrbottens län</t>
        </is>
      </c>
      <c r="G25" t="inlineStr">
        <is>
          <t>Arjeplog</t>
        </is>
      </c>
      <c r="H25" t="inlineStr">
        <is>
          <t>Övriga statliga verk och myndigheter</t>
        </is>
      </c>
      <c r="I25" t="n">
        <v>676.5</v>
      </c>
      <c r="J25" t="n">
        <v>1</v>
      </c>
      <c r="K25" t="n">
        <v>2</v>
      </c>
      <c r="L25" t="n">
        <v>6</v>
      </c>
      <c r="M25" t="n">
        <v>2</v>
      </c>
      <c r="N25" t="n">
        <v>0</v>
      </c>
      <c r="O25" t="n">
        <v>0</v>
      </c>
      <c r="P25" t="n">
        <v>0</v>
      </c>
      <c r="Q25" t="n">
        <v>8</v>
      </c>
      <c r="R25" t="n">
        <v>2</v>
      </c>
      <c r="S25" t="n">
        <v>10</v>
      </c>
      <c r="T25" t="n">
        <v>19</v>
      </c>
      <c r="U25" t="n">
        <v>5</v>
      </c>
      <c r="V25" s="2" t="inlineStr">
        <is>
          <t>Fläckporing
Gräddporing
Blanksvart spiklav
Dvärgbägarlav
Knottrig blåslav
Talltita
Vedflamlav
Vitplätt
Stuplav
Ögonpyrola</t>
        </is>
      </c>
      <c r="W25">
        <f>HYPERLINK("https://klasma.github.io/Logging_FORSKNINGSRESAN_2026_ARJEPLOG/artfynd/Iksjak-Råssnesudden artfynd.xlsx", "Iksjak-Råssnesudden")</f>
        <v/>
      </c>
      <c r="X25">
        <f>HYPERLINK("https://klasma.github.io/Logging_FORSKNINGSRESAN_2026_ARJEPLOG/kartor/Iksjak-Råssnesudden karta.png", "Iksjak-Råssnesudden")</f>
        <v/>
      </c>
      <c r="Y25">
        <f>HYPERLINK("https://klasma.github.io/Logging_FORSKNINGSRESAN_2026_ARJEPLOG/kartor_geotiff/Iksjak-Råssnesudden georefererad karta.tif", "Iksjak-Råssnesudden")</f>
        <v/>
      </c>
      <c r="AA25">
        <f>HYPERLINK("https://klasma.github.io/Logging_FORSKNINGSRESAN_2026_ARJEPLOG/klagomål/Iksjak-Råssnesudden FSC-klagomål.docx", "Iksjak-Råssnesudden")</f>
        <v/>
      </c>
      <c r="AB25">
        <f>HYPERLINK("https://klasma.github.io/Logging_FORSKNINGSRESAN_2026_ARJEPLOG/klagomålsmail/Iksjak-Råssnesudden FSC-klagomål mail.docx", "Iksjak-Råssnesudden")</f>
        <v/>
      </c>
      <c r="AC25">
        <f>HYPERLINK("https://klasma.github.io/Logging_FORSKNINGSRESAN_2026_ARJEPLOG/tillsyn/Iksjak-Råssnesudden tillsynsbegäran.docx", "Iksjak-Råssnesudden")</f>
        <v/>
      </c>
      <c r="AD25">
        <f>HYPERLINK("https://klasma.github.io/Logging_FORSKNINGSRESAN_2026_ARJEPLOG/tillsynsmail/Iksjak-Råssnesudden tillsynsbegäran mail.docx", "Iksjak-Råssnesudden")</f>
        <v/>
      </c>
      <c r="AE25">
        <f>HYPERLINK("https://klasma.github.io/Logging_FORSKNINGSRESAN_2026_ARJEPLOG/fåglar/Iksjak-Råssnesudden prioriterade fågelarter.docx", "Iksjak-Råssnesudden")</f>
        <v/>
      </c>
      <c r="AF25" t="inlineStr">
        <is>
          <t>Obruten skog. 80-90 % genomgallrat. Finast längst kanterna. Finns stor parkering vid vägen.</t>
        </is>
      </c>
      <c r="AG25" t="n">
        <v>1</v>
      </c>
      <c r="AH25" t="inlineStr">
        <is>
          <t>Övriga statliga verk och myndigheter</t>
        </is>
      </c>
      <c r="AI25" t="n">
        <v/>
      </c>
      <c r="AJ25" t="n">
        <v/>
      </c>
    </row>
    <row r="26" ht="15" customHeight="1">
      <c r="A26" t="inlineStr">
        <is>
          <t>Ássjátj utv öster</t>
        </is>
      </c>
      <c r="B26" t="inlineStr">
        <is>
          <t>inventeringsområde</t>
        </is>
      </c>
      <c r="D26" s="1" t="n">
        <v>46223</v>
      </c>
      <c r="E26" s="1" t="n">
        <v>46227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2026-07-24T10:46:19Z</dcterms:created>
  <dcterms:modified xmlns:dcterms="http://purl.org/dc/terms/" xmlns:xsi="http://www.w3.org/2001/XMLSchema-instance" xsi:type="dcterms:W3CDTF">2026-07-24T10:46:19Z</dcterms:modified>
</cp:coreProperties>
</file>