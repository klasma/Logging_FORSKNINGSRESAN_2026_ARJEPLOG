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7</v>
      </c>
      <c r="K2" t="n">
        <v>10</v>
      </c>
      <c r="L2" t="n">
        <v>21</v>
      </c>
      <c r="M2" t="n">
        <v>10</v>
      </c>
      <c r="N2" t="n">
        <v>0</v>
      </c>
      <c r="O2" t="n">
        <v>0</v>
      </c>
      <c r="P2" t="n">
        <v>0</v>
      </c>
      <c r="Q2" t="n">
        <v>31</v>
      </c>
      <c r="R2" t="n">
        <v>10</v>
      </c>
      <c r="S2" t="n">
        <v>47</v>
      </c>
      <c r="T2" t="n">
        <v>177</v>
      </c>
      <c r="U2" t="n">
        <v>177</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Rosenticka
Rostania pallida
Rynkskinn
Rödbrun blekspik
Skrovellav
Stjärntagging
Talltita
Tretåig hackspett
Ullticka
Vedskivlav
Vitgrynig nållav
Barkticka
Blodticka
Bårdlav
Gulnål
Korallrot
Luddlav
Spindelblomster
Stuplav
Vedticka
Ögonpyrola
Brudborste
Ekbräken
Nordisk stormhatt
Ormbär
Tjäder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Gålggåmisvárre</t>
        </is>
      </c>
      <c r="B3" t="inlineStr">
        <is>
          <t>inventeringsområde</t>
        </is>
      </c>
      <c r="D3" s="1" t="n">
        <v>46223</v>
      </c>
      <c r="E3" s="1" t="n">
        <v>46226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252</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Saravallen avvanm</t>
        </is>
      </c>
      <c r="B4" t="inlineStr">
        <is>
          <t>inventeringsområde</t>
        </is>
      </c>
      <c r="D4" s="1" t="n">
        <v>46223</v>
      </c>
      <c r="E4" s="1" t="n">
        <v>46226</v>
      </c>
      <c r="F4" t="inlineStr">
        <is>
          <t>Norrbottens län</t>
        </is>
      </c>
      <c r="G4" t="inlineStr">
        <is>
          <t>Arjeplog</t>
        </is>
      </c>
      <c r="H4" t="inlineStr">
        <is>
          <t>Allmännings- och besparingsskogar</t>
        </is>
      </c>
      <c r="I4" t="n">
        <v>70.40000000000001</v>
      </c>
      <c r="J4" t="n">
        <v>8</v>
      </c>
      <c r="K4" t="n">
        <v>10</v>
      </c>
      <c r="L4" t="n">
        <v>25</v>
      </c>
      <c r="M4" t="n">
        <v>6</v>
      </c>
      <c r="N4" t="n">
        <v>0</v>
      </c>
      <c r="O4" t="n">
        <v>0</v>
      </c>
      <c r="P4" t="n">
        <v>0</v>
      </c>
      <c r="Q4" t="n">
        <v>31</v>
      </c>
      <c r="R4" t="n">
        <v>6</v>
      </c>
      <c r="S4" t="n">
        <v>43</v>
      </c>
      <c r="T4" t="n">
        <v>306</v>
      </c>
      <c r="U4" t="n">
        <v>306</v>
      </c>
      <c r="V4"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4">
        <f>HYPERLINK("https://klasma.github.io/Logging_FORSKNINGSRESAN_2026_ARJEPLOG/artfynd/Saravallen avvanm artfynd.xlsx", "Saravallen avvanm")</f>
        <v/>
      </c>
      <c r="X4">
        <f>HYPERLINK("https://klasma.github.io/Logging_FORSKNINGSRESAN_2026_ARJEPLOG/kartor/Saravallen avvanm karta.png", "Saravallen avvanm")</f>
        <v/>
      </c>
      <c r="Y4">
        <f>HYPERLINK("https://klasma.github.io/Logging_FORSKNINGSRESAN_2026_ARJEPLOG/kartor_geotiff/Saravallen avvanm georefererad karta.tif", "Saravallen avvanm")</f>
        <v/>
      </c>
      <c r="Z4">
        <f>HYPERLINK("https://klasma.github.io/Logging_FORSKNINGSRESAN_2026_ARJEPLOG/knärot/Saravallen avvanm karta knärot.png", "Saravallen avvanm")</f>
        <v/>
      </c>
      <c r="AA4">
        <f>HYPERLINK("https://klasma.github.io/Logging_FORSKNINGSRESAN_2026_ARJEPLOG/klagomål/Saravallen avvanm FSC-klagomål.docx", "Saravallen avvanm")</f>
        <v/>
      </c>
      <c r="AB4">
        <f>HYPERLINK("https://klasma.github.io/Logging_FORSKNINGSRESAN_2026_ARJEPLOG/klagomålsmail/Saravallen avvanm FSC-klagomål mail.docx", "Saravallen avvanm")</f>
        <v/>
      </c>
      <c r="AC4">
        <f>HYPERLINK("https://klasma.github.io/Logging_FORSKNINGSRESAN_2026_ARJEPLOG/tillsyn/Saravallen avvanm tillsynsbegäran.docx", "Saravallen avvanm")</f>
        <v/>
      </c>
      <c r="AD4">
        <f>HYPERLINK("https://klasma.github.io/Logging_FORSKNINGSRESAN_2026_ARJEPLOG/tillsynsmail/Saravallen avvanm tillsynsbegäran mail.docx", "Saravallen avvanm")</f>
        <v/>
      </c>
      <c r="AE4">
        <f>HYPERLINK("https://klasma.github.io/Logging_FORSKNINGSRESAN_2026_ARJEPLOG/fåglar/Saravallen avvanm prioriterade fågelarter.docx", "Saravallen avvanm")</f>
        <v/>
      </c>
      <c r="AF4" t="inlineStr">
        <is>
          <t>Fin stavatallskog, eventuellt bom!! avvanm</t>
        </is>
      </c>
      <c r="AG4" t="n">
        <v>1</v>
      </c>
      <c r="AH4" t="inlineStr">
        <is>
          <t>Allmännings- och besparingsskogar</t>
        </is>
      </c>
      <c r="AI4" t="inlineStr">
        <is>
          <t>Tis: Gr 3</t>
        </is>
      </c>
      <c r="AJ4" t="inlineStr">
        <is>
          <t>A 30606-2025</t>
        </is>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10</v>
      </c>
      <c r="L7" t="n">
        <v>17</v>
      </c>
      <c r="M7" t="n">
        <v>4</v>
      </c>
      <c r="N7" t="n">
        <v>0</v>
      </c>
      <c r="O7" t="n">
        <v>0</v>
      </c>
      <c r="P7" t="n">
        <v>0</v>
      </c>
      <c r="Q7" t="n">
        <v>21</v>
      </c>
      <c r="R7" t="n">
        <v>4</v>
      </c>
      <c r="S7" t="n">
        <v>34</v>
      </c>
      <c r="T7" t="n">
        <v>98</v>
      </c>
      <c r="U7" t="n">
        <v>98</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Muorkenåive-Ássjátj S</t>
        </is>
      </c>
      <c r="B15" t="inlineStr">
        <is>
          <t>inventeringsområde</t>
        </is>
      </c>
      <c r="D15" s="1" t="n">
        <v>46223</v>
      </c>
      <c r="E15" s="1" t="n">
        <v>46226</v>
      </c>
      <c r="F15" t="inlineStr">
        <is>
          <t>Norrbottens län</t>
        </is>
      </c>
      <c r="G15" t="inlineStr">
        <is>
          <t>Arjeplog</t>
        </is>
      </c>
      <c r="I15" t="n">
        <v>113.6</v>
      </c>
      <c r="J15" t="n">
        <v>4</v>
      </c>
      <c r="K15" t="n">
        <v>5</v>
      </c>
      <c r="L15" t="n">
        <v>11</v>
      </c>
      <c r="M15" t="n">
        <v>5</v>
      </c>
      <c r="N15" t="n">
        <v>0</v>
      </c>
      <c r="O15" t="n">
        <v>0</v>
      </c>
      <c r="P15" t="n">
        <v>0</v>
      </c>
      <c r="Q15" t="n">
        <v>16</v>
      </c>
      <c r="R15" t="n">
        <v>5</v>
      </c>
      <c r="S15" t="n">
        <v>23</v>
      </c>
      <c r="T15" t="n">
        <v>50</v>
      </c>
      <c r="U15" t="n">
        <v>38</v>
      </c>
      <c r="V15" s="2" t="inlineStr">
        <is>
          <t>Garnlav
Grantickeporing
Gränsticka
Ostticka
Vitskaftad svartspik
Gammelgransskål
Harticka
Knottrig blåslav
Rosenticka
Rynkskinn
Rödbrun blekspik
Talltita
Tretåig hackspett
Ullticka
Violmussling
Vitgrynig nållav
Blodticka
Spindelblomster
Stuplav
Trådticka
Ögonpyrola
Torta
Revlummer</t>
        </is>
      </c>
      <c r="W15">
        <f>HYPERLINK("https://klasma.github.io/Logging_FORSKNINGSRESAN_2026_ARJEPLOG/artfynd/Muorkenåive-Ássjátj S artfynd.xlsx", "Muorkenåive-Ássjátj S")</f>
        <v/>
      </c>
      <c r="X15">
        <f>HYPERLINK("https://klasma.github.io/Logging_FORSKNINGSRESAN_2026_ARJEPLOG/kartor/Muorkenåive-Ássjátj S karta.png", "Muorkenåive-Ássjátj S")</f>
        <v/>
      </c>
      <c r="Y15">
        <f>HYPERLINK("https://klasma.github.io/Logging_FORSKNINGSRESAN_2026_ARJEPLOG/kartor_geotiff/Muorkenåive-Ássjátj S georefererad karta.tif", "Muorkenåive-Ássjátj S")</f>
        <v/>
      </c>
      <c r="AA15">
        <f>HYPERLINK("https://klasma.github.io/Logging_FORSKNINGSRESAN_2026_ARJEPLOG/klagomål/Muorkenåive-Ássjátj S FSC-klagomål.docx", "Muorkenåive-Ássjátj S")</f>
        <v/>
      </c>
      <c r="AB15">
        <f>HYPERLINK("https://klasma.github.io/Logging_FORSKNINGSRESAN_2026_ARJEPLOG/klagomålsmail/Muorkenåive-Ássjátj S FSC-klagomål mail.docx", "Muorkenåive-Ássjátj S")</f>
        <v/>
      </c>
      <c r="AC15">
        <f>HYPERLINK("https://klasma.github.io/Logging_FORSKNINGSRESAN_2026_ARJEPLOG/tillsyn/Muorkenåive-Ássjátj S tillsynsbegäran.docx", "Muorkenåive-Ássjátj S")</f>
        <v/>
      </c>
      <c r="AD15">
        <f>HYPERLINK("https://klasma.github.io/Logging_FORSKNINGSRESAN_2026_ARJEPLOG/tillsynsmail/Muorkenåive-Ássjátj S tillsynsbegäran mail.docx", "Muorkenåive-Ássjátj S")</f>
        <v/>
      </c>
      <c r="AE15">
        <f>HYPERLINK("https://klasma.github.io/Logging_FORSKNINGSRESAN_2026_ARJEPLOG/fåglar/Muorkenåive-Ássjátj S prioriterade fågelarter.docx", "Muorkenåive-Ássjátj S")</f>
        <v/>
      </c>
      <c r="AF15" t="inlineStr">
        <is>
          <t>Slagit samman Muorkenåive-privat med Assjatj-privat (lilla) till ett objekt efter fältgenomgång. /FF Behöver inte finkamma, men bra att få in några fynd. kommer avvanm hela tiden.</t>
        </is>
      </c>
      <c r="AG15" t="n">
        <v>1</v>
      </c>
      <c r="AH15" t="inlineStr">
        <is>
          <t>Privat</t>
        </is>
      </c>
      <c r="AI15" t="inlineStr">
        <is>
          <t>Dag Gran: Gr 3</t>
        </is>
      </c>
      <c r="AJ15" t="n">
        <v/>
      </c>
    </row>
    <row r="16" ht="15" customHeight="1">
      <c r="A16" t="inlineStr">
        <is>
          <t>Maskaure Långmyran SV, 6,8 ha</t>
        </is>
      </c>
      <c r="B16" t="inlineStr">
        <is>
          <t>inventeringsområde</t>
        </is>
      </c>
      <c r="D16" s="1" t="n">
        <v>46223</v>
      </c>
      <c r="E16" s="1" t="n">
        <v>46226</v>
      </c>
      <c r="F16" t="inlineStr">
        <is>
          <t>Norrbottens län</t>
        </is>
      </c>
      <c r="G16" t="inlineStr">
        <is>
          <t>Arjeplog</t>
        </is>
      </c>
      <c r="H16" t="inlineStr">
        <is>
          <t>Sveaskog</t>
        </is>
      </c>
      <c r="I16" t="n">
        <v>6.9</v>
      </c>
      <c r="J16" t="n">
        <v>2</v>
      </c>
      <c r="K16" t="n">
        <v>1</v>
      </c>
      <c r="L16" t="n">
        <v>15</v>
      </c>
      <c r="M16" t="n">
        <v>4</v>
      </c>
      <c r="N16" t="n">
        <v>0</v>
      </c>
      <c r="O16" t="n">
        <v>0</v>
      </c>
      <c r="P16" t="n">
        <v>0</v>
      </c>
      <c r="Q16" t="n">
        <v>19</v>
      </c>
      <c r="R16" t="n">
        <v>4</v>
      </c>
      <c r="S16" t="n">
        <v>22</v>
      </c>
      <c r="T16" t="n">
        <v>57</v>
      </c>
      <c r="U16" t="n">
        <v>49</v>
      </c>
      <c r="V16"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2</v>
      </c>
      <c r="L17" t="n">
        <v>14</v>
      </c>
      <c r="M17" t="n">
        <v>1</v>
      </c>
      <c r="N17" t="n">
        <v>0</v>
      </c>
      <c r="O17" t="n">
        <v>0</v>
      </c>
      <c r="P17" t="n">
        <v>0</v>
      </c>
      <c r="Q17" t="n">
        <v>15</v>
      </c>
      <c r="R17" t="n">
        <v>1</v>
      </c>
      <c r="S17" t="n">
        <v>20</v>
      </c>
      <c r="T17" t="n">
        <v>56</v>
      </c>
      <c r="U17" t="n">
        <v>40</v>
      </c>
      <c r="V17" s="2" t="inlineStr">
        <is>
          <t>Fläckporing
Blanksvart spiklav
Drillsnäppa
Dropptaggsvamp
Duvhök
Dvärgbägarlav
Kortskaftad ärgspik
Lavskrika
Nordtagging
Talltagel
Talltita
Tretåig hackspett
Vedflamlav
Vedskivlav
Älg
Plattlummer
Vedticka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Juvtábákte utvidgning S</t>
        </is>
      </c>
      <c r="B18" t="inlineStr">
        <is>
          <t>inventeringsområde</t>
        </is>
      </c>
      <c r="D18" s="1" t="n">
        <v>46223</v>
      </c>
      <c r="E18" s="1" t="n">
        <v>46226</v>
      </c>
      <c r="F18" t="inlineStr">
        <is>
          <t>Norrbottens län</t>
        </is>
      </c>
      <c r="G18" t="inlineStr">
        <is>
          <t>Arjeplog</t>
        </is>
      </c>
      <c r="H18" t="inlineStr">
        <is>
          <t>Övriga statliga verk och myndigheter</t>
        </is>
      </c>
      <c r="I18" t="n">
        <v>143</v>
      </c>
      <c r="J18" t="n">
        <v>9</v>
      </c>
      <c r="K18" t="n">
        <v>4</v>
      </c>
      <c r="L18" t="n">
        <v>9</v>
      </c>
      <c r="M18" t="n">
        <v>0</v>
      </c>
      <c r="N18" t="n">
        <v>0</v>
      </c>
      <c r="O18" t="n">
        <v>0</v>
      </c>
      <c r="P18" t="n">
        <v>0</v>
      </c>
      <c r="Q18" t="n">
        <v>9</v>
      </c>
      <c r="R18" t="n">
        <v>0</v>
      </c>
      <c r="S18" t="n">
        <v>17</v>
      </c>
      <c r="T18" t="n">
        <v>23</v>
      </c>
      <c r="U18" t="n">
        <v>1</v>
      </c>
      <c r="V18" s="2" t="inlineStr">
        <is>
          <t>Blå taggsvamp
Dropptaggsvamp
Lappmes
Lavskrika
Skarp dropptaggsvamp
Stickelfrö
Talltagel
Tretåig hackspett
Ullticka
Nordlig fjädermossa
Plattlummer
Spindelblomster
Ögonpyrola
Mattlummer
Brudsporre
Fläcknycklar
Revlummer</t>
        </is>
      </c>
      <c r="W18">
        <f>HYPERLINK("https://klasma.github.io/Logging_FORSKNINGSRESAN_2026_ARJEPLOG/artfynd/Juvtábákte utvidgning S artfynd.xlsx", "Juvtábákte utvidgning S")</f>
        <v/>
      </c>
      <c r="X18">
        <f>HYPERLINK("https://klasma.github.io/Logging_FORSKNINGSRESAN_2026_ARJEPLOG/kartor/Juvtábákte utvidgning S karta.png", "Juvtábákte utvidgning S")</f>
        <v/>
      </c>
      <c r="Y18">
        <f>HYPERLINK("https://klasma.github.io/Logging_FORSKNINGSRESAN_2026_ARJEPLOG/kartor_geotiff/Juvtábákte utvidgning S georefererad karta.tif", "Juvtábákte utvidgning S")</f>
        <v/>
      </c>
      <c r="AA18">
        <f>HYPERLINK("https://klasma.github.io/Logging_FORSKNINGSRESAN_2026_ARJEPLOG/klagomål/Juvtábákte utvidgning S FSC-klagomål.docx", "Juvtábákte utvidgning S")</f>
        <v/>
      </c>
      <c r="AB18">
        <f>HYPERLINK("https://klasma.github.io/Logging_FORSKNINGSRESAN_2026_ARJEPLOG/klagomålsmail/Juvtábákte utvidgning S FSC-klagomål mail.docx", "Juvtábákte utvidgning S")</f>
        <v/>
      </c>
      <c r="AC18">
        <f>HYPERLINK("https://klasma.github.io/Logging_FORSKNINGSRESAN_2026_ARJEPLOG/tillsyn/Juvtábákte utvidgning S tillsynsbegäran.docx", "Juvtábákte utvidgning S")</f>
        <v/>
      </c>
      <c r="AD18">
        <f>HYPERLINK("https://klasma.github.io/Logging_FORSKNINGSRESAN_2026_ARJEPLOG/tillsynsmail/Juvtábákte utvidgning S tillsynsbegäran mail.docx", "Juvtábákte utvidgning S")</f>
        <v/>
      </c>
      <c r="AE18">
        <f>HYPERLINK("https://klasma.github.io/Logging_FORSKNINGSRESAN_2026_ARJEPLOG/fåglar/Juvtábákte utvidgning S prioriterade fågelarter.docx", "Juvtábákte utvidgning S")</f>
        <v/>
      </c>
      <c r="AF18" t="inlineStr">
        <is>
          <t>Avskrevs på samr.möte 171116. Samr. m SFV gäller ej längre. Inv 2022 + branten på priv.m. Ö om. Viktigt för att få ner reservatet till allmän väg, vilket ökar tillgängligheten. Bytt namn 230314 till ...Silvervägen. /FF Bör ingå i planerat</t>
        </is>
      </c>
      <c r="AG18" t="n">
        <v>2</v>
      </c>
      <c r="AH18" t="inlineStr">
        <is>
          <t>Fastighetsverket</t>
        </is>
      </c>
      <c r="AI18" t="inlineStr">
        <is>
          <t>Tis: Gr 4</t>
        </is>
      </c>
      <c r="AJ18" t="n">
        <v/>
      </c>
    </row>
    <row r="19" ht="15" customHeight="1">
      <c r="A19" t="inlineStr">
        <is>
          <t>Maskaure Myrås avvanm, 5 ha</t>
        </is>
      </c>
      <c r="B19" t="inlineStr">
        <is>
          <t>inventeringsområde</t>
        </is>
      </c>
      <c r="D19" s="1" t="n">
        <v>46223</v>
      </c>
      <c r="E19" s="1" t="n">
        <v>46226</v>
      </c>
      <c r="F19" t="inlineStr">
        <is>
          <t>Norrbottens län</t>
        </is>
      </c>
      <c r="G19" t="inlineStr">
        <is>
          <t>Arjeplog</t>
        </is>
      </c>
      <c r="I19" t="n">
        <v>5</v>
      </c>
      <c r="J19" t="n">
        <v>2</v>
      </c>
      <c r="K19" t="n">
        <v>2</v>
      </c>
      <c r="L19" t="n">
        <v>12</v>
      </c>
      <c r="M19" t="n">
        <v>2</v>
      </c>
      <c r="N19" t="n">
        <v>0</v>
      </c>
      <c r="O19" t="n">
        <v>0</v>
      </c>
      <c r="P19" t="n">
        <v>0</v>
      </c>
      <c r="Q19" t="n">
        <v>14</v>
      </c>
      <c r="R19" t="n">
        <v>2</v>
      </c>
      <c r="S19" t="n">
        <v>16</v>
      </c>
      <c r="T19" t="n">
        <v>52</v>
      </c>
      <c r="U19" t="n">
        <v>37</v>
      </c>
      <c r="V19" s="2" t="inlineStr">
        <is>
          <t>Garnlav
Gränsticka
Blanksvart spiklav
Blågrå svartspik
Dvärgbägarlav
Gammelgransskål
Knottrig blåslav
Kolflarnlav
Kortskaftad ärgspik
Mörk kolflarnlav
Talltagel
Tretåig hackspett
Vedflamlav
Vedskivlav
Spindelblomster
Vedticka</t>
        </is>
      </c>
      <c r="W19">
        <f>HYPERLINK("https://klasma.github.io/Logging_FORSKNINGSRESAN_2026_ARJEPLOG/artfynd/Maskaure Myrås avvanm, 5 ha artfynd.xlsx", "Maskaure Myrås avvanm, 5 ha")</f>
        <v/>
      </c>
      <c r="X19">
        <f>HYPERLINK("https://klasma.github.io/Logging_FORSKNINGSRESAN_2026_ARJEPLOG/kartor/Maskaure Myrås avvanm, 5 ha karta.png", "Maskaure Myrås avvanm, 5 ha")</f>
        <v/>
      </c>
      <c r="Y19">
        <f>HYPERLINK("https://klasma.github.io/Logging_FORSKNINGSRESAN_2026_ARJEPLOG/kartor_geotiff/Maskaure Myrås avvanm, 5 ha georefererad karta.tif", "Maskaure Myrås avvanm, 5 ha")</f>
        <v/>
      </c>
      <c r="AA19">
        <f>HYPERLINK("https://klasma.github.io/Logging_FORSKNINGSRESAN_2026_ARJEPLOG/klagomål/Maskaure Myrås avvanm, 5 ha FSC-klagomål.docx", "Maskaure Myrås avvanm, 5 ha")</f>
        <v/>
      </c>
      <c r="AB19">
        <f>HYPERLINK("https://klasma.github.io/Logging_FORSKNINGSRESAN_2026_ARJEPLOG/klagomålsmail/Maskaure Myrås avvanm, 5 ha FSC-klagomål mail.docx", "Maskaure Myrås avvanm, 5 ha")</f>
        <v/>
      </c>
      <c r="AC19">
        <f>HYPERLINK("https://klasma.github.io/Logging_FORSKNINGSRESAN_2026_ARJEPLOG/tillsyn/Maskaure Myrås avvanm, 5 ha tillsynsbegäran.docx", "Maskaure Myrås avvanm, 5 ha")</f>
        <v/>
      </c>
      <c r="AD19">
        <f>HYPERLINK("https://klasma.github.io/Logging_FORSKNINGSRESAN_2026_ARJEPLOG/tillsynsmail/Maskaure Myrås avvanm, 5 ha tillsynsbegäran mail.docx", "Maskaure Myrås avvanm, 5 ha")</f>
        <v/>
      </c>
      <c r="AE19">
        <f>HYPERLINK("https://klasma.github.io/Logging_FORSKNINGSRESAN_2026_ARJEPLOG/fåglar/Maskaure Myrås avvanm, 5 ha prioriterade fågelarter.docx", "Maskaure Myrås avvanm, 5 ha")</f>
        <v/>
      </c>
      <c r="AF19" t="inlineStr">
        <is>
          <t>avvanm, delvis inventerad</t>
        </is>
      </c>
      <c r="AG19" t="n">
        <v>1</v>
      </c>
      <c r="AH19" t="inlineStr">
        <is>
          <t>Privat</t>
        </is>
      </c>
      <c r="AI19" t="inlineStr">
        <is>
          <t>Ons: Gr 2 (prio 2)</t>
        </is>
      </c>
      <c r="AJ19" t="inlineStr">
        <is>
          <t>A 64837-2023</t>
        </is>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2026-07-23T17:25:10Z</dcterms:created>
  <dcterms:modified xmlns:dcterms="http://purl.org/dc/terms/" xmlns:xsi="http://www.w3.org/2001/XMLSchema-instance" xsi:type="dcterms:W3CDTF">2026-07-23T17:25:10Z</dcterms:modified>
</cp:coreProperties>
</file>