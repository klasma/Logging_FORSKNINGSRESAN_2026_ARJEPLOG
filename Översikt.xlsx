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24</v>
      </c>
      <c r="M2" t="n">
        <v>12</v>
      </c>
      <c r="N2" t="n">
        <v>0</v>
      </c>
      <c r="O2" t="n">
        <v>0</v>
      </c>
      <c r="P2" t="n">
        <v>0</v>
      </c>
      <c r="Q2" t="n">
        <v>36</v>
      </c>
      <c r="R2" t="n">
        <v>12</v>
      </c>
      <c r="S2" t="n">
        <v>62</v>
      </c>
      <c r="T2" t="n">
        <v>342</v>
      </c>
      <c r="U2" t="n">
        <v>342</v>
      </c>
      <c r="V2" s="2" t="inlineStr">
        <is>
          <t>Garnlav
Grantickeporing
Grenlav
Gränsticka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13</v>
      </c>
      <c r="L3" t="n">
        <v>19</v>
      </c>
      <c r="M3" t="n">
        <v>8</v>
      </c>
      <c r="N3" t="n">
        <v>1</v>
      </c>
      <c r="O3" t="n">
        <v>0</v>
      </c>
      <c r="P3" t="n">
        <v>0</v>
      </c>
      <c r="Q3" t="n">
        <v>28</v>
      </c>
      <c r="R3" t="n">
        <v>9</v>
      </c>
      <c r="S3" t="n">
        <v>51</v>
      </c>
      <c r="T3" t="n">
        <v>297</v>
      </c>
      <c r="U3" t="n">
        <v>285</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Norrlandslav
Skinnlav
Spindelblomster
Stuplav
Tibast
Trådticka
Vedticka
Ögonpyrola
Ekbräken
Fjällskråp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10</v>
      </c>
      <c r="L4" t="n">
        <v>18</v>
      </c>
      <c r="M4" t="n">
        <v>7</v>
      </c>
      <c r="N4" t="n">
        <v>0</v>
      </c>
      <c r="O4" t="n">
        <v>0</v>
      </c>
      <c r="P4" t="n">
        <v>0</v>
      </c>
      <c r="Q4" t="n">
        <v>25</v>
      </c>
      <c r="R4" t="n">
        <v>7</v>
      </c>
      <c r="S4" t="n">
        <v>48</v>
      </c>
      <c r="T4" t="n">
        <v>359</v>
      </c>
      <c r="U4" t="n">
        <v>323</v>
      </c>
      <c r="V4"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99</v>
      </c>
      <c r="U9" t="n">
        <v>99</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Svanvik SO avvanm</t>
        </is>
      </c>
      <c r="B14" t="inlineStr">
        <is>
          <t>inventeringsområde</t>
        </is>
      </c>
      <c r="D14" s="1" t="n">
        <v>46223</v>
      </c>
      <c r="E14" s="1" t="n">
        <v>46226</v>
      </c>
      <c r="F14" t="inlineStr">
        <is>
          <t>Norrbottens län</t>
        </is>
      </c>
      <c r="G14" t="inlineStr">
        <is>
          <t>Arjeplog</t>
        </is>
      </c>
      <c r="I14" t="n">
        <v>12.9</v>
      </c>
      <c r="J14" t="n">
        <v>4</v>
      </c>
      <c r="K14" t="n">
        <v>8</v>
      </c>
      <c r="L14" t="n">
        <v>13</v>
      </c>
      <c r="M14" t="n">
        <v>4</v>
      </c>
      <c r="N14" t="n">
        <v>0</v>
      </c>
      <c r="O14" t="n">
        <v>0</v>
      </c>
      <c r="P14" t="n">
        <v>0</v>
      </c>
      <c r="Q14" t="n">
        <v>17</v>
      </c>
      <c r="R14" t="n">
        <v>4</v>
      </c>
      <c r="S14" t="n">
        <v>26</v>
      </c>
      <c r="T14" t="n">
        <v>101</v>
      </c>
      <c r="U14" t="n">
        <v>101</v>
      </c>
      <c r="V14" s="2" t="inlineStr">
        <is>
          <t>Garnlav
Gränsticka
Knärot
Lappticka
Blanksvart spiklav
Doftskinn
Gammelgransskål
Harticka
Knottrig blåslav
Rosenticka
Skrovellav
Talltita
Tretåig hackspett
Ullticka
Vedflamlav
Vedtrappmossa
Vitgrynig nållav
Bronshjon
Bårdlav
Källmossor
Luddlav
Spindelblomster
Stuplav
Vedticka
Vågbandad barkbock
Bergsslok</t>
        </is>
      </c>
      <c r="W14">
        <f>HYPERLINK("https://klasma.github.io/Logging_FORSKNINGSRESAN_2026_ARJEPLOG/artfynd/Svanvik SO avvanm artfynd.xlsx", "Svanvik SO avvanm")</f>
        <v/>
      </c>
      <c r="X14">
        <f>HYPERLINK("https://klasma.github.io/Logging_FORSKNINGSRESAN_2026_ARJEPLOG/kartor/Svanvik SO avvanm karta.png", "Svanvik SO avvanm")</f>
        <v/>
      </c>
      <c r="Y14">
        <f>HYPERLINK("https://klasma.github.io/Logging_FORSKNINGSRESAN_2026_ARJEPLOG/kartor_geotiff/Svanvik SO avvanm georefererad karta.tif", "Svanvik SO avvanm")</f>
        <v/>
      </c>
      <c r="Z14">
        <f>HYPERLINK("https://klasma.github.io/Logging_FORSKNINGSRESAN_2026_ARJEPLOG/knärot/Svanvik SO avvanm karta knärot.png", "Svanvik SO avvanm")</f>
        <v/>
      </c>
      <c r="AA14">
        <f>HYPERLINK("https://klasma.github.io/Logging_FORSKNINGSRESAN_2026_ARJEPLOG/klagomål/Svanvik SO avvanm FSC-klagomål.docx", "Svanvik SO avvanm")</f>
        <v/>
      </c>
      <c r="AB14">
        <f>HYPERLINK("https://klasma.github.io/Logging_FORSKNINGSRESAN_2026_ARJEPLOG/klagomålsmail/Svanvik SO avvanm FSC-klagomål mail.docx", "Svanvik SO avvanm")</f>
        <v/>
      </c>
      <c r="AC14">
        <f>HYPERLINK("https://klasma.github.io/Logging_FORSKNINGSRESAN_2026_ARJEPLOG/tillsyn/Svanvik SO avvanm tillsynsbegäran.docx", "Svanvik SO avvanm")</f>
        <v/>
      </c>
      <c r="AD14">
        <f>HYPERLINK("https://klasma.github.io/Logging_FORSKNINGSRESAN_2026_ARJEPLOG/tillsynsmail/Svanvik SO avvanm tillsynsbegäran mail.docx", "Svanvik SO avvanm")</f>
        <v/>
      </c>
      <c r="AE14">
        <f>HYPERLINK("https://klasma.github.io/Logging_FORSKNINGSRESAN_2026_ARJEPLOG/fåglar/Svanvik SO avvanm prioriterade fågelarter.docx", "Svanvik SO avvanm")</f>
        <v/>
      </c>
      <c r="AF14" t="inlineStr">
        <is>
          <t>Grannaturskog</t>
        </is>
      </c>
      <c r="AG14" t="n">
        <v>1</v>
      </c>
      <c r="AH14" t="inlineStr">
        <is>
          <t>Privat</t>
        </is>
      </c>
      <c r="AI14" t="inlineStr">
        <is>
          <t>Dag Gran: Gr 1 (prio 1)</t>
        </is>
      </c>
      <c r="AJ14" t="n">
        <v/>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118</v>
      </c>
      <c r="U15" t="n">
        <v>118</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2026-07-23T19:13:31Z</dcterms:created>
  <dcterms:modified xmlns:dcterms="http://purl.org/dc/terms/" xmlns:xsi="http://www.w3.org/2001/XMLSchema-instance" xsi:type="dcterms:W3CDTF">2026-07-23T19:13:31Z</dcterms:modified>
</cp:coreProperties>
</file>