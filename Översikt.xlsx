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8</v>
      </c>
      <c r="K2" t="n">
        <v>12</v>
      </c>
      <c r="L2" t="n">
        <v>21</v>
      </c>
      <c r="M2" t="n">
        <v>10</v>
      </c>
      <c r="N2" t="n">
        <v>0</v>
      </c>
      <c r="O2" t="n">
        <v>0</v>
      </c>
      <c r="P2" t="n">
        <v>0</v>
      </c>
      <c r="Q2" t="n">
        <v>31</v>
      </c>
      <c r="R2" t="n">
        <v>10</v>
      </c>
      <c r="S2" t="n">
        <v>50</v>
      </c>
      <c r="T2" t="n">
        <v>197</v>
      </c>
      <c r="U2" t="n">
        <v>197</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Rosenticka
Rostania pallida
Rynkskinn
Rödbrun blekspik
Skrovellav
Stjärntagging
Talltita
Tretåig hackspett
Ullticka
Vedskivlav
Vitgrynig nållav
Barkticka
Blodticka
Bårdlav
Grönkulla
Gulnål
Korallrot
Luddlav
Spindelblomster
Stuplav
Tibast
Vedticka
Ögonpyrola
Brudborste
Ekbräken
Humleblomster
Nordisk stormhatt
Ormbär
Tjäder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Gålggåmisvárre</t>
        </is>
      </c>
      <c r="B3" t="inlineStr">
        <is>
          <t>inventeringsområde</t>
        </is>
      </c>
      <c r="D3" s="1" t="n">
        <v>46223</v>
      </c>
      <c r="E3" s="1" t="n">
        <v>46226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252</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Saravallen avvanm</t>
        </is>
      </c>
      <c r="B4" t="inlineStr">
        <is>
          <t>inventeringsområde</t>
        </is>
      </c>
      <c r="D4" s="1" t="n">
        <v>46223</v>
      </c>
      <c r="E4" s="1" t="n">
        <v>46226</v>
      </c>
      <c r="F4" t="inlineStr">
        <is>
          <t>Norrbottens län</t>
        </is>
      </c>
      <c r="G4" t="inlineStr">
        <is>
          <t>Arjeplog</t>
        </is>
      </c>
      <c r="H4" t="inlineStr">
        <is>
          <t>Allmännings- och besparingsskogar</t>
        </is>
      </c>
      <c r="I4" t="n">
        <v>70.40000000000001</v>
      </c>
      <c r="J4" t="n">
        <v>8</v>
      </c>
      <c r="K4" t="n">
        <v>10</v>
      </c>
      <c r="L4" t="n">
        <v>25</v>
      </c>
      <c r="M4" t="n">
        <v>6</v>
      </c>
      <c r="N4" t="n">
        <v>0</v>
      </c>
      <c r="O4" t="n">
        <v>0</v>
      </c>
      <c r="P4" t="n">
        <v>0</v>
      </c>
      <c r="Q4" t="n">
        <v>31</v>
      </c>
      <c r="R4" t="n">
        <v>6</v>
      </c>
      <c r="S4" t="n">
        <v>43</v>
      </c>
      <c r="T4" t="n">
        <v>306</v>
      </c>
      <c r="U4" t="n">
        <v>306</v>
      </c>
      <c r="V4"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4">
        <f>HYPERLINK("https://klasma.github.io/Logging_FORSKNINGSRESAN_2026_ARJEPLOG/artfynd/Saravallen avvanm artfynd.xlsx", "Saravallen avvanm")</f>
        <v/>
      </c>
      <c r="X4">
        <f>HYPERLINK("https://klasma.github.io/Logging_FORSKNINGSRESAN_2026_ARJEPLOG/kartor/Saravallen avvanm karta.png", "Saravallen avvanm")</f>
        <v/>
      </c>
      <c r="Y4">
        <f>HYPERLINK("https://klasma.github.io/Logging_FORSKNINGSRESAN_2026_ARJEPLOG/kartor_geotiff/Saravallen avvanm georefererad karta.tif", "Saravallen avvanm")</f>
        <v/>
      </c>
      <c r="Z4">
        <f>HYPERLINK("https://klasma.github.io/Logging_FORSKNINGSRESAN_2026_ARJEPLOG/knärot/Saravallen avvanm karta knärot.png", "Saravallen avvanm")</f>
        <v/>
      </c>
      <c r="AA4">
        <f>HYPERLINK("https://klasma.github.io/Logging_FORSKNINGSRESAN_2026_ARJEPLOG/klagomål/Saravallen avvanm FSC-klagomål.docx", "Saravallen avvanm")</f>
        <v/>
      </c>
      <c r="AB4">
        <f>HYPERLINK("https://klasma.github.io/Logging_FORSKNINGSRESAN_2026_ARJEPLOG/klagomålsmail/Saravallen avvanm FSC-klagomål mail.docx", "Saravallen avvanm")</f>
        <v/>
      </c>
      <c r="AC4">
        <f>HYPERLINK("https://klasma.github.io/Logging_FORSKNINGSRESAN_2026_ARJEPLOG/tillsyn/Saravallen avvanm tillsynsbegäran.docx", "Saravallen avvanm")</f>
        <v/>
      </c>
      <c r="AD4">
        <f>HYPERLINK("https://klasma.github.io/Logging_FORSKNINGSRESAN_2026_ARJEPLOG/tillsynsmail/Saravallen avvanm tillsynsbegäran mail.docx", "Saravallen avvanm")</f>
        <v/>
      </c>
      <c r="AE4">
        <f>HYPERLINK("https://klasma.github.io/Logging_FORSKNINGSRESAN_2026_ARJEPLOG/fåglar/Saravallen avvanm prioriterade fågelarter.docx", "Saravallen avvanm")</f>
        <v/>
      </c>
      <c r="AF4" t="inlineStr">
        <is>
          <t>Fin stavatallskog, eventuellt bom!! avvanm</t>
        </is>
      </c>
      <c r="AG4" t="n">
        <v>1</v>
      </c>
      <c r="AH4" t="inlineStr">
        <is>
          <t>Allmännings- och besparingsskogar</t>
        </is>
      </c>
      <c r="AI4" t="inlineStr">
        <is>
          <t>Tis: Gr 3</t>
        </is>
      </c>
      <c r="AJ4" t="inlineStr">
        <is>
          <t>A 30606-2025</t>
        </is>
      </c>
    </row>
    <row r="5" ht="15" customHeight="1">
      <c r="A5" t="inlineStr">
        <is>
          <t>Laisdalen Björkliden</t>
        </is>
      </c>
      <c r="B5" t="inlineStr">
        <is>
          <t>inventeringsområde</t>
        </is>
      </c>
      <c r="D5" s="1" t="n">
        <v>46223</v>
      </c>
      <c r="E5" s="1" t="n">
        <v>46226</v>
      </c>
      <c r="F5" t="inlineStr">
        <is>
          <t>Norrbottens län</t>
        </is>
      </c>
      <c r="G5" t="inlineStr">
        <is>
          <t>Arjeplog</t>
        </is>
      </c>
      <c r="H5" t="inlineStr">
        <is>
          <t>Övriga statliga verk och myndigheter</t>
        </is>
      </c>
      <c r="I5" t="n">
        <v>119.1</v>
      </c>
      <c r="J5" t="n">
        <v>11</v>
      </c>
      <c r="K5" t="n">
        <v>10</v>
      </c>
      <c r="L5" t="n">
        <v>16</v>
      </c>
      <c r="M5" t="n">
        <v>7</v>
      </c>
      <c r="N5" t="n">
        <v>0</v>
      </c>
      <c r="O5" t="n">
        <v>0</v>
      </c>
      <c r="P5" t="n">
        <v>0</v>
      </c>
      <c r="Q5" t="n">
        <v>23</v>
      </c>
      <c r="R5" t="n">
        <v>7</v>
      </c>
      <c r="S5" t="n">
        <v>43</v>
      </c>
      <c r="T5" t="n">
        <v>286</v>
      </c>
      <c r="U5" t="n">
        <v>250</v>
      </c>
      <c r="V5" s="2" t="inlineStr">
        <is>
          <t>Garnlav
Grantickeporing
Gränsticka
Knärot
Lappticka
Ostticka
Vitskaftad svartspik
Blanksvart spiklav
Gammelgransskål
Harticka
Knottrig blåslav
Lavskrika
Liten svartspik
Lunglav
Nordlig nållav
Rosenticka
Rödbrun blekspik
Skrovellav
Talltagel
Talltita
Tretåig hackspett
Ullticka
Vitgrynig nållav
Blodticka
Bårdlav
Grönkulla
Luddlav
Plattlummer
Spindelblomster
Stuplav
Trådticka
Vedticka
Ögonpyrola
Ekbräken
Fjällskära
Järpe
Kransmossa
Kärrviol
Linnea
Nordisk stormhatt
Spillkråka
Tjäder
Brudsporre</t>
        </is>
      </c>
      <c r="W5">
        <f>HYPERLINK("https://klasma.github.io/Logging_FORSKNINGSRESAN_2026_ARJEPLOG/artfynd/Laisdalen Björkliden artfynd.xlsx", "Laisdalen Björkliden")</f>
        <v/>
      </c>
      <c r="X5">
        <f>HYPERLINK("https://klasma.github.io/Logging_FORSKNINGSRESAN_2026_ARJEPLOG/kartor/Laisdalen Björkliden karta.png", "Laisdalen Björkliden")</f>
        <v/>
      </c>
      <c r="Y5">
        <f>HYPERLINK("https://klasma.github.io/Logging_FORSKNINGSRESAN_2026_ARJEPLOG/kartor_geotiff/Laisdalen Björkliden georefererad karta.tif", "Laisdalen Björkliden")</f>
        <v/>
      </c>
      <c r="Z5">
        <f>HYPERLINK("https://klasma.github.io/Logging_FORSKNINGSRESAN_2026_ARJEPLOG/knärot/Laisdalen Björkliden karta knärot.png", "Laisdalen Björkliden")</f>
        <v/>
      </c>
      <c r="AA5">
        <f>HYPERLINK("https://klasma.github.io/Logging_FORSKNINGSRESAN_2026_ARJEPLOG/klagomål/Laisdalen Björkliden FSC-klagomål.docx", "Laisdalen Björkliden")</f>
        <v/>
      </c>
      <c r="AB5">
        <f>HYPERLINK("https://klasma.github.io/Logging_FORSKNINGSRESAN_2026_ARJEPLOG/klagomålsmail/Laisdalen Björkliden FSC-klagomål mail.docx", "Laisdalen Björkliden")</f>
        <v/>
      </c>
      <c r="AC5">
        <f>HYPERLINK("https://klasma.github.io/Logging_FORSKNINGSRESAN_2026_ARJEPLOG/tillsyn/Laisdalen Björkliden tillsynsbegäran.docx", "Laisdalen Björkliden")</f>
        <v/>
      </c>
      <c r="AD5">
        <f>HYPERLINK("https://klasma.github.io/Logging_FORSKNINGSRESAN_2026_ARJEPLOG/tillsynsmail/Laisdalen Björkliden tillsynsbegäran mail.docx", "Laisdalen Björkliden")</f>
        <v/>
      </c>
      <c r="AE5">
        <f>HYPERLINK("https://klasma.github.io/Logging_FORSKNINGSRESAN_2026_ARJEPLOG/fåglar/Laisdalen Björkliden prioriterade fågelarter.docx", "Laisdalen Björkliden")</f>
        <v/>
      </c>
      <c r="AF5" t="inlineStr">
        <is>
          <t>Trolig granbränna, mycket gamla sälgar, spridd död ved, delvis inventerad</t>
        </is>
      </c>
      <c r="AG5" t="n">
        <v>1</v>
      </c>
      <c r="AH5" t="inlineStr">
        <is>
          <t>SFV</t>
        </is>
      </c>
      <c r="AI5" t="inlineStr">
        <is>
          <t>Dag Gran: Gr 4</t>
        </is>
      </c>
      <c r="AJ5" t="n">
        <v/>
      </c>
    </row>
    <row r="6" ht="15" customHeight="1">
      <c r="A6" t="inlineStr">
        <is>
          <t>Maskaure Maddagielas N, 68,3 ha</t>
        </is>
      </c>
      <c r="B6" t="inlineStr">
        <is>
          <t>inventeringsområde</t>
        </is>
      </c>
      <c r="D6" s="1" t="n">
        <v>46223</v>
      </c>
      <c r="E6" s="1" t="n">
        <v>46226</v>
      </c>
      <c r="F6" t="inlineStr">
        <is>
          <t>Norrbottens län</t>
        </is>
      </c>
      <c r="G6" t="inlineStr">
        <is>
          <t>Arjeplog</t>
        </is>
      </c>
      <c r="H6" t="inlineStr">
        <is>
          <t>Sveaskog</t>
        </is>
      </c>
      <c r="I6" t="n">
        <v>68.2</v>
      </c>
      <c r="J6" t="n">
        <v>11</v>
      </c>
      <c r="K6" t="n">
        <v>11</v>
      </c>
      <c r="L6" t="n">
        <v>20</v>
      </c>
      <c r="M6" t="n">
        <v>4</v>
      </c>
      <c r="N6" t="n">
        <v>0</v>
      </c>
      <c r="O6" t="n">
        <v>0</v>
      </c>
      <c r="P6" t="n">
        <v>0</v>
      </c>
      <c r="Q6" t="n">
        <v>24</v>
      </c>
      <c r="R6" t="n">
        <v>4</v>
      </c>
      <c r="S6" t="n">
        <v>41</v>
      </c>
      <c r="T6" t="n">
        <v>191</v>
      </c>
      <c r="U6" t="n">
        <v>188</v>
      </c>
      <c r="V6"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6">
        <f>HYPERLINK("https://klasma.github.io/Logging_FORSKNINGSRESAN_2026_ARJEPLOG/artfynd/Maskaure Maddagielas N, 68,3 ha artfynd.xlsx", "Maskaure Maddagielas N, 68,3 ha")</f>
        <v/>
      </c>
      <c r="X6">
        <f>HYPERLINK("https://klasma.github.io/Logging_FORSKNINGSRESAN_2026_ARJEPLOG/kartor/Maskaure Maddagielas N, 68,3 ha karta.png", "Maskaure Maddagielas N, 68,3 ha")</f>
        <v/>
      </c>
      <c r="Y6">
        <f>HYPERLINK("https://klasma.github.io/Logging_FORSKNINGSRESAN_2026_ARJEPLOG/kartor_geotiff/Maskaure Maddagielas N, 68,3 ha georefererad karta.tif", "Maskaure Maddagielas N, 68,3 ha")</f>
        <v/>
      </c>
      <c r="AA6">
        <f>HYPERLINK("https://klasma.github.io/Logging_FORSKNINGSRESAN_2026_ARJEPLOG/klagomål/Maskaure Maddagielas N, 68,3 ha FSC-klagomål.docx", "Maskaure Maddagielas N, 68,3 ha")</f>
        <v/>
      </c>
      <c r="AB6">
        <f>HYPERLINK("https://klasma.github.io/Logging_FORSKNINGSRESAN_2026_ARJEPLOG/klagomålsmail/Maskaure Maddagielas N, 68,3 ha FSC-klagomål mail.docx", "Maskaure Maddagielas N, 68,3 ha")</f>
        <v/>
      </c>
      <c r="AC6">
        <f>HYPERLINK("https://klasma.github.io/Logging_FORSKNINGSRESAN_2026_ARJEPLOG/tillsyn/Maskaure Maddagielas N, 68,3 ha tillsynsbegäran.docx", "Maskaure Maddagielas N, 68,3 ha")</f>
        <v/>
      </c>
      <c r="AD6">
        <f>HYPERLINK("https://klasma.github.io/Logging_FORSKNINGSRESAN_2026_ARJEPLOG/tillsynsmail/Maskaure Maddagielas N, 68,3 ha tillsynsbegäran mail.docx", "Maskaure Maddagielas N, 68,3 ha")</f>
        <v/>
      </c>
      <c r="AE6">
        <f>HYPERLINK("https://klasma.github.io/Logging_FORSKNINGSRESAN_2026_ARJEPLOG/fåglar/Maskaure Maddagielas N, 68,3 ha prioriterade fågelarter.docx", "Maskaure Maddagielas N, 68,3 ha")</f>
        <v/>
      </c>
      <c r="AF6" t="inlineStr">
        <is>
          <t>k-skog, tre samplaneringsomr inom ytan, frivilliga avsättningar inom ytan</t>
        </is>
      </c>
      <c r="AG6" t="n">
        <v>1</v>
      </c>
      <c r="AH6" t="inlineStr">
        <is>
          <t>Sveaskog</t>
        </is>
      </c>
      <c r="AI6" t="inlineStr">
        <is>
          <t>Ons: Gr 4</t>
        </is>
      </c>
      <c r="AJ6" t="n">
        <v/>
      </c>
    </row>
    <row r="7" ht="15" customHeight="1">
      <c r="A7" t="inlineStr">
        <is>
          <t>Maskaure Siebdniesjávrrie-Lillberget, 122 ha</t>
        </is>
      </c>
      <c r="B7" t="inlineStr">
        <is>
          <t>inventeringsområde</t>
        </is>
      </c>
      <c r="D7" s="1" t="n">
        <v>46223</v>
      </c>
      <c r="E7" s="1" t="n">
        <v>46226</v>
      </c>
      <c r="F7" t="inlineStr">
        <is>
          <t>Norrbottens län</t>
        </is>
      </c>
      <c r="G7" t="inlineStr">
        <is>
          <t>Arjeplog</t>
        </is>
      </c>
      <c r="H7" t="inlineStr">
        <is>
          <t>Sveaskog</t>
        </is>
      </c>
      <c r="I7" t="n">
        <v>122.1</v>
      </c>
      <c r="J7" t="n">
        <v>8</v>
      </c>
      <c r="K7" t="n">
        <v>7</v>
      </c>
      <c r="L7" t="n">
        <v>20</v>
      </c>
      <c r="M7" t="n">
        <v>5</v>
      </c>
      <c r="N7" t="n">
        <v>0</v>
      </c>
      <c r="O7" t="n">
        <v>0</v>
      </c>
      <c r="P7" t="n">
        <v>0</v>
      </c>
      <c r="Q7" t="n">
        <v>25</v>
      </c>
      <c r="R7" t="n">
        <v>5</v>
      </c>
      <c r="S7" t="n">
        <v>37</v>
      </c>
      <c r="T7" t="n">
        <v>157</v>
      </c>
      <c r="U7" t="n">
        <v>96</v>
      </c>
      <c r="V7"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7">
        <f>HYPERLINK("https://klasma.github.io/Logging_FORSKNINGSRESAN_2026_ARJEPLOG/artfynd/Maskaure Siebdniesjávrrie-Lillberget, 122 ha artfynd.xlsx", "Maskaure Siebdniesjávrrie-Lillberget, 122 ha")</f>
        <v/>
      </c>
      <c r="X7">
        <f>HYPERLINK("https://klasma.github.io/Logging_FORSKNINGSRESAN_2026_ARJEPLOG/kartor/Maskaure Siebdniesjávrrie-Lillberget, 122 ha karta.png", "Maskaure Siebdniesjávrrie-Lillberget, 122 ha")</f>
        <v/>
      </c>
      <c r="Y7">
        <f>HYPERLINK("https://klasma.github.io/Logging_FORSKNINGSRESAN_2026_ARJEPLOG/kartor_geotiff/Maskaure Siebdniesjávrrie-Lillberget, 122 ha georefererad karta.tif", "Maskaure Siebdniesjávrrie-Lillberget, 122 ha")</f>
        <v/>
      </c>
      <c r="AA7">
        <f>HYPERLINK("https://klasma.github.io/Logging_FORSKNINGSRESAN_2026_ARJEPLOG/klagomål/Maskaure Siebdniesjávrrie-Lillberget, 122 ha FSC-klagomål.docx", "Maskaure Siebdniesjávrrie-Lillberget, 122 ha")</f>
        <v/>
      </c>
      <c r="AB7">
        <f>HYPERLINK("https://klasma.github.io/Logging_FORSKNINGSRESAN_2026_ARJEPLOG/klagomålsmail/Maskaure Siebdniesjávrrie-Lillberget, 122 ha FSC-klagomål mail.docx", "Maskaure Siebdniesjávrrie-Lillberget, 122 ha")</f>
        <v/>
      </c>
      <c r="AC7">
        <f>HYPERLINK("https://klasma.github.io/Logging_FORSKNINGSRESAN_2026_ARJEPLOG/tillsyn/Maskaure Siebdniesjávrrie-Lillberget, 122 ha tillsynsbegäran.docx", "Maskaure Siebdniesjávrrie-Lillberget, 122 ha")</f>
        <v/>
      </c>
      <c r="AD7">
        <f>HYPERLINK("https://klasma.github.io/Logging_FORSKNINGSRESAN_2026_ARJEPLOG/tillsynsmail/Maskaure Siebdniesjávrrie-Lillberget, 122 ha tillsynsbegäran mail.docx", "Maskaure Siebdniesjávrrie-Lillberget, 122 ha")</f>
        <v/>
      </c>
      <c r="AE7">
        <f>HYPERLINK("https://klasma.github.io/Logging_FORSKNINGSRESAN_2026_ARJEPLOG/fåglar/Maskaure Siebdniesjávrrie-Lillberget, 122 ha prioriterade fågelarter.docx", "Maskaure Siebdniesjávrrie-Lillberget, 122 ha")</f>
        <v/>
      </c>
      <c r="AF7" t="inlineStr">
        <is>
          <t>Gran. Samplaneringsomr finns inom omr</t>
        </is>
      </c>
      <c r="AG7" t="n">
        <v>1</v>
      </c>
      <c r="AH7" t="inlineStr">
        <is>
          <t>Sveaskog</t>
        </is>
      </c>
      <c r="AI7" t="inlineStr">
        <is>
          <t>Ons: Gr 1</t>
        </is>
      </c>
      <c r="AJ7" t="n">
        <v/>
      </c>
    </row>
    <row r="8" ht="15" customHeight="1">
      <c r="A8" t="inlineStr">
        <is>
          <t>Maskaure Tsågávrrie avvanm, 17,8 ha</t>
        </is>
      </c>
      <c r="B8" t="inlineStr">
        <is>
          <t>inventeringsområde</t>
        </is>
      </c>
      <c r="D8" s="1" t="n">
        <v>46223</v>
      </c>
      <c r="E8" s="1" t="n">
        <v>46226</v>
      </c>
      <c r="F8" t="inlineStr">
        <is>
          <t>Norrbottens län</t>
        </is>
      </c>
      <c r="G8" t="inlineStr">
        <is>
          <t>Arjeplog</t>
        </is>
      </c>
      <c r="I8" t="n">
        <v>17.8</v>
      </c>
      <c r="J8" t="n">
        <v>7</v>
      </c>
      <c r="K8" t="n">
        <v>10</v>
      </c>
      <c r="L8" t="n">
        <v>17</v>
      </c>
      <c r="M8" t="n">
        <v>4</v>
      </c>
      <c r="N8" t="n">
        <v>0</v>
      </c>
      <c r="O8" t="n">
        <v>0</v>
      </c>
      <c r="P8" t="n">
        <v>0</v>
      </c>
      <c r="Q8" t="n">
        <v>21</v>
      </c>
      <c r="R8" t="n">
        <v>4</v>
      </c>
      <c r="S8" t="n">
        <v>34</v>
      </c>
      <c r="T8" t="n">
        <v>99</v>
      </c>
      <c r="U8" t="n">
        <v>99</v>
      </c>
      <c r="V8"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HYPERLINK("https://klasma.github.io/Logging_FORSKNINGSRESAN_2026_ARJEPLOG/artfynd/Maskaure Tsågávrrie avvanm, 17,8 ha artfynd.xlsx", "Maskaure Tsågávrrie avvanm, 17,8 ha")</f>
        <v/>
      </c>
      <c r="X8">
        <f>HYPERLINK("https://klasma.github.io/Logging_FORSKNINGSRESAN_2026_ARJEPLOG/kartor/Maskaure Tsågávrrie avvanm, 17,8 ha karta.png", "Maskaure Tsågávrrie avvanm, 17,8 ha")</f>
        <v/>
      </c>
      <c r="Y8">
        <f>HYPERLINK("https://klasma.github.io/Logging_FORSKNINGSRESAN_2026_ARJEPLOG/kartor_geotiff/Maskaure Tsågávrrie avvanm, 17,8 ha georefererad karta.tif", "Maskaure Tsågávrrie avvanm, 17,8 ha")</f>
        <v/>
      </c>
      <c r="AA8">
        <f>HYPERLINK("https://klasma.github.io/Logging_FORSKNINGSRESAN_2026_ARJEPLOG/klagomål/Maskaure Tsågávrrie avvanm, 17,8 ha FSC-klagomål.docx", "Maskaure Tsågávrrie avvanm, 17,8 ha")</f>
        <v/>
      </c>
      <c r="AB8">
        <f>HYPERLINK("https://klasma.github.io/Logging_FORSKNINGSRESAN_2026_ARJEPLOG/klagomålsmail/Maskaure Tsågávrrie avvanm, 17,8 ha FSC-klagomål mail.docx", "Maskaure Tsågávrrie avvanm, 17,8 ha")</f>
        <v/>
      </c>
      <c r="AC8">
        <f>HYPERLINK("https://klasma.github.io/Logging_FORSKNINGSRESAN_2026_ARJEPLOG/tillsyn/Maskaure Tsågávrrie avvanm, 17,8 ha tillsynsbegäran.docx", "Maskaure Tsågávrrie avvanm, 17,8 ha")</f>
        <v/>
      </c>
      <c r="AD8">
        <f>HYPERLINK("https://klasma.github.io/Logging_FORSKNINGSRESAN_2026_ARJEPLOG/tillsynsmail/Maskaure Tsågávrrie avvanm, 17,8 ha tillsynsbegäran mail.docx", "Maskaure Tsågávrrie avvanm, 17,8 ha")</f>
        <v/>
      </c>
      <c r="AE8">
        <f>HYPERLINK("https://klasma.github.io/Logging_FORSKNINGSRESAN_2026_ARJEPLOG/fåglar/Maskaure Tsågávrrie avvanm, 17,8 ha prioriterade fågelarter.docx", "Maskaure Tsågávrrie avvanm, 17,8 ha")</f>
        <v/>
      </c>
      <c r="AF8" t="inlineStr">
        <is>
          <t>avvanm</t>
        </is>
      </c>
      <c r="AG8" t="n">
        <v>1</v>
      </c>
      <c r="AH8" t="inlineStr">
        <is>
          <t>Privat</t>
        </is>
      </c>
      <c r="AI8" t="inlineStr">
        <is>
          <t>Ons: Gr 2 (prio 3)</t>
        </is>
      </c>
      <c r="AJ8" t="inlineStr">
        <is>
          <t>A 64809-2023</t>
        </is>
      </c>
    </row>
    <row r="9" ht="15" customHeight="1">
      <c r="A9" t="inlineStr">
        <is>
          <t>Västra Kikkejaure korsningen Långviken avvanm</t>
        </is>
      </c>
      <c r="B9" t="inlineStr">
        <is>
          <t>inventeringsområde</t>
        </is>
      </c>
      <c r="D9" s="1" t="n">
        <v>46223</v>
      </c>
      <c r="E9" s="1" t="n">
        <v>46226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HYPERLINK("https://klasma.github.io/Logging_FORSKNINGSRESAN_2026_ARJEPLOG/artfynd/Västra Kikkejaure korsningen Långviken avvanm artfynd.xlsx", "Västra Kikkejaure korsningen Långviken avvanm")</f>
        <v/>
      </c>
      <c r="X9">
        <f>HYPERLINK("https://klasma.github.io/Logging_FORSKNINGSRESAN_2026_ARJEPLOG/kartor/Västra Kikkejaure korsningen Långviken avvanm karta.png", "Västra Kikkejaure korsningen Långviken avvanm")</f>
        <v/>
      </c>
      <c r="Y9">
        <f>HYPERLINK("https://klasma.github.io/Logging_FORSKNINGSRESAN_2026_ARJEPLOG/kartor_geotiff/Västra Kikkejaure korsningen Långviken avvanm georefererad karta.tif", "Västra Kikkejaure korsningen Långviken avvanm")</f>
        <v/>
      </c>
      <c r="AA9">
        <f>HYPERLINK("https://klasma.github.io/Logging_FORSKNINGSRESAN_2026_ARJEPLOG/klagomål/Västra Kikkejaure korsningen Långviken avvanm FSC-klagomål.docx", "Västra Kikkejaure korsningen Långviken avvanm")</f>
        <v/>
      </c>
      <c r="AB9">
        <f>HYPERLINK("https://klasma.github.io/Logging_FORSKNINGSRESAN_2026_ARJEPLOG/klagomålsmail/Västra Kikkejaure korsningen Långviken avvanm FSC-klagomål mail.docx", "Västra Kikkejaure korsningen Långviken avvanm")</f>
        <v/>
      </c>
      <c r="AC9">
        <f>HYPERLINK("https://klasma.github.io/Logging_FORSKNINGSRESAN_2026_ARJEPLOG/tillsyn/Västra Kikkejaure korsningen Långviken avvanm tillsynsbegäran.docx", "Västra Kikkejaure korsningen Långviken avvanm")</f>
        <v/>
      </c>
      <c r="AD9">
        <f>HYPERLINK("https://klasma.github.io/Logging_FORSKNINGSRESAN_2026_ARJEPLOG/tillsynsmail/Västra Kikkejaure korsningen Långviken avvanm tillsynsbegäran mail.docx", "Västra Kikkejaure korsningen Långviken avvanm")</f>
        <v/>
      </c>
      <c r="AE9">
        <f>HYPERLINK("https://klasma.github.io/Logging_FORSKNINGSRESAN_2026_ARJEPLOG/fåglar/Västra Kikkejaure korsningen Långviken avvanm prioriterade fågelarter.docx", "Västra Kikkejaure korsningen Långviken avvanm")</f>
        <v/>
      </c>
      <c r="AF9" t="inlineStr">
        <is>
          <t>avvanm, tallnaturskog med silverved</t>
        </is>
      </c>
      <c r="AG9" t="n">
        <v>1</v>
      </c>
      <c r="AH9" t="inlineStr">
        <is>
          <t>Allmännings- och besparingsskogar</t>
        </is>
      </c>
      <c r="AI9" t="inlineStr">
        <is>
          <t>Tis: Gr 2 (prio 1)</t>
        </is>
      </c>
      <c r="AJ9" t="inlineStr">
        <is>
          <t>A 45924-2023</t>
        </is>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Muorkenåive-Ássjátj S</t>
        </is>
      </c>
      <c r="B13" t="inlineStr">
        <is>
          <t>inventeringsområde</t>
        </is>
      </c>
      <c r="D13" s="1" t="n">
        <v>46223</v>
      </c>
      <c r="E13" s="1" t="n">
        <v>46226</v>
      </c>
      <c r="F13" t="inlineStr">
        <is>
          <t>Norrbottens län</t>
        </is>
      </c>
      <c r="G13" t="inlineStr">
        <is>
          <t>Arjeplog</t>
        </is>
      </c>
      <c r="I13" t="n">
        <v>113.6</v>
      </c>
      <c r="J13" t="n">
        <v>5</v>
      </c>
      <c r="K13" t="n">
        <v>5</v>
      </c>
      <c r="L13" t="n">
        <v>11</v>
      </c>
      <c r="M13" t="n">
        <v>6</v>
      </c>
      <c r="N13" t="n">
        <v>1</v>
      </c>
      <c r="O13" t="n">
        <v>0</v>
      </c>
      <c r="P13" t="n">
        <v>0</v>
      </c>
      <c r="Q13" t="n">
        <v>18</v>
      </c>
      <c r="R13" t="n">
        <v>7</v>
      </c>
      <c r="S13" t="n">
        <v>26</v>
      </c>
      <c r="T13" t="n">
        <v>62</v>
      </c>
      <c r="U13" t="n">
        <v>50</v>
      </c>
      <c r="V13" s="2" t="inlineStr">
        <is>
          <t>Isabellporing
Bågknotterskinn
Garnlav
Grantickeporing
Gränsticka
Ostticka
Vitskaftad svartspik
Gammelgransskål
Harticka
Knottrig blåslav
Rosenticka
Rynkskinn
Rödbrun blekspik
Talltita
Tretåig hackspett
Ullticka
Violmussling
Vitgrynig nållav
Blodticka
Spindelblomster
Stuplav
Trådticka
Ögonpyrola
Torta
Fläcknycklar
Revlummer</t>
        </is>
      </c>
      <c r="W13">
        <f>HYPERLINK("https://klasma.github.io/Logging_FORSKNINGSRESAN_2026_ARJEPLOG/artfynd/Muorkenåive-Ássjátj S artfynd.xlsx", "Muorkenåive-Ássjátj S")</f>
        <v/>
      </c>
      <c r="X13">
        <f>HYPERLINK("https://klasma.github.io/Logging_FORSKNINGSRESAN_2026_ARJEPLOG/kartor/Muorkenåive-Ássjátj S karta.png", "Muorkenåive-Ássjátj S")</f>
        <v/>
      </c>
      <c r="Y13">
        <f>HYPERLINK("https://klasma.github.io/Logging_FORSKNINGSRESAN_2026_ARJEPLOG/kartor_geotiff/Muorkenåive-Ássjátj S georefererad karta.tif", "Muorkenåive-Ássjátj S")</f>
        <v/>
      </c>
      <c r="AA13">
        <f>HYPERLINK("https://klasma.github.io/Logging_FORSKNINGSRESAN_2026_ARJEPLOG/klagomål/Muorkenåive-Ássjátj S FSC-klagomål.docx", "Muorkenåive-Ássjátj S")</f>
        <v/>
      </c>
      <c r="AB13">
        <f>HYPERLINK("https://klasma.github.io/Logging_FORSKNINGSRESAN_2026_ARJEPLOG/klagomålsmail/Muorkenåive-Ássjátj S FSC-klagomål mail.docx", "Muorkenåive-Ássjátj S")</f>
        <v/>
      </c>
      <c r="AC13">
        <f>HYPERLINK("https://klasma.github.io/Logging_FORSKNINGSRESAN_2026_ARJEPLOG/tillsyn/Muorkenåive-Ássjátj S tillsynsbegäran.docx", "Muorkenåive-Ássjátj S")</f>
        <v/>
      </c>
      <c r="AD13">
        <f>HYPERLINK("https://klasma.github.io/Logging_FORSKNINGSRESAN_2026_ARJEPLOG/tillsynsmail/Muorkenåive-Ássjátj S tillsynsbegäran mail.docx", "Muorkenåive-Ássjátj S")</f>
        <v/>
      </c>
      <c r="AE13">
        <f>HYPERLINK("https://klasma.github.io/Logging_FORSKNINGSRESAN_2026_ARJEPLOG/fåglar/Muorkenåive-Ássjátj S prioriterade fågelarter.docx", "Muorkenåive-Ássjátj S")</f>
        <v/>
      </c>
      <c r="AF13" t="inlineStr">
        <is>
          <t>Slagit samman Muorkenåive-privat med Assjatj-privat (lilla) till ett objekt efter fältgenomgång. /FF Behöver inte finkamma, men bra att få in några fynd. kommer avvanm hela tiden.</t>
        </is>
      </c>
      <c r="AG13" t="n">
        <v>1</v>
      </c>
      <c r="AH13" t="inlineStr">
        <is>
          <t>Privat</t>
        </is>
      </c>
      <c r="AI13" t="inlineStr">
        <is>
          <t>Dag Gran: Gr 3</t>
        </is>
      </c>
      <c r="AJ13" t="n">
        <v/>
      </c>
    </row>
    <row r="14" ht="15" customHeight="1">
      <c r="A14" t="inlineStr">
        <is>
          <t>Maskaure Renskötartjärnen, 8,3 ha</t>
        </is>
      </c>
      <c r="B14" t="inlineStr">
        <is>
          <t>inventeringsområde</t>
        </is>
      </c>
      <c r="D14" s="1" t="n">
        <v>46223</v>
      </c>
      <c r="E14" s="1" t="n">
        <v>46226</v>
      </c>
      <c r="F14" t="inlineStr">
        <is>
          <t>Norrbottens län</t>
        </is>
      </c>
      <c r="G14" t="inlineStr">
        <is>
          <t>Arjeplog</t>
        </is>
      </c>
      <c r="H14" t="inlineStr">
        <is>
          <t>Sveaskog</t>
        </is>
      </c>
      <c r="I14" t="n">
        <v>8.300000000000001</v>
      </c>
      <c r="J14" t="n">
        <v>2</v>
      </c>
      <c r="K14" t="n">
        <v>2</v>
      </c>
      <c r="L14" t="n">
        <v>12</v>
      </c>
      <c r="M14" t="n">
        <v>8</v>
      </c>
      <c r="N14" t="n">
        <v>0</v>
      </c>
      <c r="O14" t="n">
        <v>1</v>
      </c>
      <c r="P14" t="n">
        <v>0</v>
      </c>
      <c r="Q14" t="n">
        <v>21</v>
      </c>
      <c r="R14" t="n">
        <v>9</v>
      </c>
      <c r="S14" t="n">
        <v>24</v>
      </c>
      <c r="T14" t="n">
        <v>80</v>
      </c>
      <c r="U14" t="n">
        <v>48</v>
      </c>
      <c r="V14"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4">
        <f>HYPERLINK("https://klasma.github.io/Logging_FORSKNINGSRESAN_2026_ARJEPLOG/artfynd/Maskaure Renskötartjärnen, 8,3 ha artfynd.xlsx", "Maskaure Renskötartjärnen, 8,3 ha")</f>
        <v/>
      </c>
      <c r="X14">
        <f>HYPERLINK("https://klasma.github.io/Logging_FORSKNINGSRESAN_2026_ARJEPLOG/kartor/Maskaure Renskötartjärnen, 8,3 ha karta.png", "Maskaure Renskötartjärnen, 8,3 ha")</f>
        <v/>
      </c>
      <c r="Y14">
        <f>HYPERLINK("https://klasma.github.io/Logging_FORSKNINGSRESAN_2026_ARJEPLOG/kartor_geotiff/Maskaure Renskötartjärnen, 8,3 ha georefererad karta.tif", "Maskaure Renskötartjärnen, 8,3 ha")</f>
        <v/>
      </c>
      <c r="AA14">
        <f>HYPERLINK("https://klasma.github.io/Logging_FORSKNINGSRESAN_2026_ARJEPLOG/klagomål/Maskaure Renskötartjärnen, 8,3 ha FSC-klagomål.docx", "Maskaure Renskötartjärnen, 8,3 ha")</f>
        <v/>
      </c>
      <c r="AB14">
        <f>HYPERLINK("https://klasma.github.io/Logging_FORSKNINGSRESAN_2026_ARJEPLOG/klagomålsmail/Maskaure Renskötartjärnen, 8,3 ha FSC-klagomål mail.docx", "Maskaure Renskötartjärnen, 8,3 ha")</f>
        <v/>
      </c>
      <c r="AC14">
        <f>HYPERLINK("https://klasma.github.io/Logging_FORSKNINGSRESAN_2026_ARJEPLOG/tillsyn/Maskaure Renskötartjärnen, 8,3 ha tillsynsbegäran.docx", "Maskaure Renskötartjärnen, 8,3 ha")</f>
        <v/>
      </c>
      <c r="AD14">
        <f>HYPERLINK("https://klasma.github.io/Logging_FORSKNINGSRESAN_2026_ARJEPLOG/tillsynsmail/Maskaure Renskötartjärnen, 8,3 ha tillsynsbegäran mail.docx", "Maskaure Renskötartjärnen, 8,3 ha")</f>
        <v/>
      </c>
      <c r="AF14" t="inlineStr">
        <is>
          <t>k-skog, ej rekad</t>
        </is>
      </c>
      <c r="AG14" t="n">
        <v>1</v>
      </c>
      <c r="AH14" t="inlineStr">
        <is>
          <t>Sveaskog</t>
        </is>
      </c>
      <c r="AI14" t="inlineStr">
        <is>
          <t>Ons: Gr 3</t>
        </is>
      </c>
      <c r="AJ14" t="n">
        <v/>
      </c>
    </row>
    <row r="15" ht="15" customHeight="1">
      <c r="A15" t="inlineStr">
        <is>
          <t>Njuöniesvárrie NV avvanm</t>
        </is>
      </c>
      <c r="B15" t="inlineStr">
        <is>
          <t>inventeringsområde</t>
        </is>
      </c>
      <c r="D15" s="1" t="n">
        <v>46223</v>
      </c>
      <c r="E15" s="1" t="n">
        <v>46226</v>
      </c>
      <c r="F15" t="inlineStr">
        <is>
          <t>Norrbottens län</t>
        </is>
      </c>
      <c r="G15" t="inlineStr">
        <is>
          <t>Arjeplog</t>
        </is>
      </c>
      <c r="H15" t="inlineStr">
        <is>
          <t>Allmännings- och besparingsskogar</t>
        </is>
      </c>
      <c r="I15" t="n">
        <v>39.8</v>
      </c>
      <c r="J15" t="n">
        <v>4</v>
      </c>
      <c r="K15" t="n">
        <v>3</v>
      </c>
      <c r="L15" t="n">
        <v>13</v>
      </c>
      <c r="M15" t="n">
        <v>5</v>
      </c>
      <c r="N15" t="n">
        <v>1</v>
      </c>
      <c r="O15" t="n">
        <v>0</v>
      </c>
      <c r="P15" t="n">
        <v>0</v>
      </c>
      <c r="Q15" t="n">
        <v>19</v>
      </c>
      <c r="R15" t="n">
        <v>6</v>
      </c>
      <c r="S15" t="n">
        <v>23</v>
      </c>
      <c r="T15" t="n">
        <v>73</v>
      </c>
      <c r="U15" t="n">
        <v>73</v>
      </c>
      <c r="V1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5">
        <f>HYPERLINK("https://klasma.github.io/Logging_FORSKNINGSRESAN_2026_ARJEPLOG/artfynd/Njuöniesvárrie NV avvanm artfynd.xlsx", "Njuöniesvárrie NV avvanm")</f>
        <v/>
      </c>
      <c r="X15">
        <f>HYPERLINK("https://klasma.github.io/Logging_FORSKNINGSRESAN_2026_ARJEPLOG/kartor/Njuöniesvárrie NV avvanm karta.png", "Njuöniesvárrie NV avvanm")</f>
        <v/>
      </c>
      <c r="Y15">
        <f>HYPERLINK("https://klasma.github.io/Logging_FORSKNINGSRESAN_2026_ARJEPLOG/kartor_geotiff/Njuöniesvárrie NV avvanm georefererad karta.tif", "Njuöniesvárrie NV avvanm")</f>
        <v/>
      </c>
      <c r="Z15">
        <f>HYPERLINK("https://klasma.github.io/Logging_FORSKNINGSRESAN_2026_ARJEPLOG/knärot/Njuöniesvárrie NV avvanm karta knärot.png", "Njuöniesvárrie NV avvanm")</f>
        <v/>
      </c>
      <c r="AA15">
        <f>HYPERLINK("https://klasma.github.io/Logging_FORSKNINGSRESAN_2026_ARJEPLOG/klagomål/Njuöniesvárrie NV avvanm FSC-klagomål.docx", "Njuöniesvárrie NV avvanm")</f>
        <v/>
      </c>
      <c r="AB15">
        <f>HYPERLINK("https://klasma.github.io/Logging_FORSKNINGSRESAN_2026_ARJEPLOG/klagomålsmail/Njuöniesvárrie NV avvanm FSC-klagomål mail.docx", "Njuöniesvárrie NV avvanm")</f>
        <v/>
      </c>
      <c r="AC15">
        <f>HYPERLINK("https://klasma.github.io/Logging_FORSKNINGSRESAN_2026_ARJEPLOG/tillsyn/Njuöniesvárrie NV avvanm tillsynsbegäran.docx", "Njuöniesvárrie NV avvanm")</f>
        <v/>
      </c>
      <c r="AD15">
        <f>HYPERLINK("https://klasma.github.io/Logging_FORSKNINGSRESAN_2026_ARJEPLOG/tillsynsmail/Njuöniesvárrie NV avvanm tillsynsbegäran mail.docx", "Njuöniesvárrie NV avvanm")</f>
        <v/>
      </c>
      <c r="AE15">
        <f>HYPERLINK("https://klasma.github.io/Logging_FORSKNINGSRESAN_2026_ARJEPLOG/fåglar/Njuöniesvárrie NV avvanm prioriterade fågelarter.docx", "Njuöniesvárrie NV avvanm")</f>
        <v/>
      </c>
      <c r="AF15" t="inlineStr">
        <is>
          <t>Barrblandskog, eventuellt bom!! avvanm</t>
        </is>
      </c>
      <c r="AG15" t="n">
        <v>1</v>
      </c>
      <c r="AH15" t="inlineStr">
        <is>
          <t>Allmännings- och besparingsskogar</t>
        </is>
      </c>
      <c r="AI15" t="n">
        <v/>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66</v>
      </c>
      <c r="U17" t="n">
        <v>50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3</v>
      </c>
      <c r="K18" t="n">
        <v>2</v>
      </c>
      <c r="L18" t="n">
        <v>12</v>
      </c>
      <c r="M18" t="n">
        <v>2</v>
      </c>
      <c r="N18" t="n">
        <v>0</v>
      </c>
      <c r="O18" t="n">
        <v>0</v>
      </c>
      <c r="P18" t="n">
        <v>0</v>
      </c>
      <c r="Q18" t="n">
        <v>14</v>
      </c>
      <c r="R18" t="n">
        <v>2</v>
      </c>
      <c r="S18" t="n">
        <v>17</v>
      </c>
      <c r="T18" t="n">
        <v>56</v>
      </c>
      <c r="U18" t="n">
        <v>41</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Juvtábákte utvidgning S</t>
        </is>
      </c>
      <c r="B19" t="inlineStr">
        <is>
          <t>inventeringsområde</t>
        </is>
      </c>
      <c r="D19" s="1" t="n">
        <v>46223</v>
      </c>
      <c r="E19" s="1" t="n">
        <v>46226</v>
      </c>
      <c r="F19" t="inlineStr">
        <is>
          <t>Norrbottens län</t>
        </is>
      </c>
      <c r="G19" t="inlineStr">
        <is>
          <t>Arjeplog</t>
        </is>
      </c>
      <c r="H19" t="inlineStr">
        <is>
          <t>Övriga statliga verk och myndigheter</t>
        </is>
      </c>
      <c r="I19" t="n">
        <v>143</v>
      </c>
      <c r="J19" t="n">
        <v>9</v>
      </c>
      <c r="K19" t="n">
        <v>4</v>
      </c>
      <c r="L19" t="n">
        <v>9</v>
      </c>
      <c r="M19" t="n">
        <v>0</v>
      </c>
      <c r="N19" t="n">
        <v>0</v>
      </c>
      <c r="O19" t="n">
        <v>0</v>
      </c>
      <c r="P19" t="n">
        <v>0</v>
      </c>
      <c r="Q19" t="n">
        <v>9</v>
      </c>
      <c r="R19" t="n">
        <v>0</v>
      </c>
      <c r="S19" t="n">
        <v>17</v>
      </c>
      <c r="T19" t="n">
        <v>23</v>
      </c>
      <c r="U19" t="n">
        <v>1</v>
      </c>
      <c r="V19" s="2" t="inlineStr">
        <is>
          <t>Blå taggsvamp
Dropptaggsvamp
Lappmes
Lavskrika
Skarp dropptaggsvamp
Stickelfrö
Talltagel
Tretåig hackspett
Ullticka
Nordlig fjädermossa
Plattlummer
Spindelblomster
Ögonpyrola
Mattlummer
Brudsporre
Fläcknycklar
Revlummer</t>
        </is>
      </c>
      <c r="W19">
        <f>HYPERLINK("https://klasma.github.io/Logging_FORSKNINGSRESAN_2026_ARJEPLOG/artfynd/Juvtábákte utvidgning S artfynd.xlsx", "Juvtábákte utvidgning S")</f>
        <v/>
      </c>
      <c r="X19">
        <f>HYPERLINK("https://klasma.github.io/Logging_FORSKNINGSRESAN_2026_ARJEPLOG/kartor/Juvtábákte utvidgning S karta.png", "Juvtábákte utvidgning S")</f>
        <v/>
      </c>
      <c r="Y19">
        <f>HYPERLINK("https://klasma.github.io/Logging_FORSKNINGSRESAN_2026_ARJEPLOG/kartor_geotiff/Juvtábákte utvidgning S georefererad karta.tif", "Juvtábákte utvidgning S")</f>
        <v/>
      </c>
      <c r="AA19">
        <f>HYPERLINK("https://klasma.github.io/Logging_FORSKNINGSRESAN_2026_ARJEPLOG/klagomål/Juvtábákte utvidgning S FSC-klagomål.docx", "Juvtábákte utvidgning S")</f>
        <v/>
      </c>
      <c r="AB19">
        <f>HYPERLINK("https://klasma.github.io/Logging_FORSKNINGSRESAN_2026_ARJEPLOG/klagomålsmail/Juvtábákte utvidgning S FSC-klagomål mail.docx", "Juvtábákte utvidgning S")</f>
        <v/>
      </c>
      <c r="AC19">
        <f>HYPERLINK("https://klasma.github.io/Logging_FORSKNINGSRESAN_2026_ARJEPLOG/tillsyn/Juvtábákte utvidgning S tillsynsbegäran.docx", "Juvtábákte utvidgning S")</f>
        <v/>
      </c>
      <c r="AD19">
        <f>HYPERLINK("https://klasma.github.io/Logging_FORSKNINGSRESAN_2026_ARJEPLOG/tillsynsmail/Juvtábákte utvidgning S tillsynsbegäran mail.docx", "Juvtábákte utvidgning S")</f>
        <v/>
      </c>
      <c r="AE19">
        <f>HYPERLINK("https://klasma.github.io/Logging_FORSKNINGSRESAN_2026_ARJEPLOG/fåglar/Juvtábákte utvidgning S prioriterade fågelarter.docx", "Juvtábákte utvidgning S")</f>
        <v/>
      </c>
      <c r="AF19" t="inlineStr">
        <is>
          <t>Avskrevs på samr.möte 171116. Samr. m SFV gäller ej längre. Inv 2022 + branten på priv.m. Ö om. Viktigt för att få ner reservatet till allmän väg, vilket ökar tillgängligheten. Bytt namn 230314 till ...Silvervägen. /FF Bör ingå i planerat</t>
        </is>
      </c>
      <c r="AG19" t="n">
        <v>2</v>
      </c>
      <c r="AH19" t="inlineStr">
        <is>
          <t>Fastighetsverket</t>
        </is>
      </c>
      <c r="AI19" t="inlineStr">
        <is>
          <t>Tis: Gr 4</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Svanvik SO avvanm</t>
        </is>
      </c>
      <c r="B22" t="inlineStr">
        <is>
          <t>inventeringsområde</t>
        </is>
      </c>
      <c r="D22" s="1" t="n">
        <v>46223</v>
      </c>
      <c r="E22" s="1" t="n">
        <v>46226</v>
      </c>
      <c r="F22" t="inlineStr">
        <is>
          <t>Norrbottens län</t>
        </is>
      </c>
      <c r="G22" t="inlineStr">
        <is>
          <t>Arjeplog</t>
        </is>
      </c>
      <c r="I22" t="n">
        <v>12.9</v>
      </c>
      <c r="J22" t="n">
        <v>2</v>
      </c>
      <c r="K22" t="n">
        <v>3</v>
      </c>
      <c r="L22" t="n">
        <v>7</v>
      </c>
      <c r="M22" t="n">
        <v>2</v>
      </c>
      <c r="N22" t="n">
        <v>0</v>
      </c>
      <c r="O22" t="n">
        <v>0</v>
      </c>
      <c r="P22" t="n">
        <v>0</v>
      </c>
      <c r="Q22" t="n">
        <v>9</v>
      </c>
      <c r="R22" t="n">
        <v>2</v>
      </c>
      <c r="S22" t="n">
        <v>12</v>
      </c>
      <c r="T22" t="n">
        <v>22</v>
      </c>
      <c r="U22" t="n">
        <v>22</v>
      </c>
      <c r="V22" s="2" t="inlineStr">
        <is>
          <t>Garnlav
Knärot
Gammelgransskål
Harticka
Rosenticka
Skrovellav
Ullticka
Vedtrappmossa
Vitgrynig nållav
Bårdlav
Luddlav
Spindelblomster</t>
        </is>
      </c>
      <c r="W22">
        <f>HYPERLINK("https://klasma.github.io/Logging_FORSKNINGSRESAN_2026_ARJEPLOG/artfynd/Svanvik SO avvanm artfynd.xlsx", "Svanvik SO avvanm")</f>
        <v/>
      </c>
      <c r="X22">
        <f>HYPERLINK("https://klasma.github.io/Logging_FORSKNINGSRESAN_2026_ARJEPLOG/kartor/Svanvik SO avvanm karta.png", "Svanvik SO avvanm")</f>
        <v/>
      </c>
      <c r="Y22">
        <f>HYPERLINK("https://klasma.github.io/Logging_FORSKNINGSRESAN_2026_ARJEPLOG/kartor_geotiff/Svanvik SO avvanm georefererad karta.tif", "Svanvik SO avvanm")</f>
        <v/>
      </c>
      <c r="Z22">
        <f>HYPERLINK("https://klasma.github.io/Logging_FORSKNINGSRESAN_2026_ARJEPLOG/knärot/Svanvik SO avvanm karta knärot.png", "Svanvik SO avvanm")</f>
        <v/>
      </c>
      <c r="AA22">
        <f>HYPERLINK("https://klasma.github.io/Logging_FORSKNINGSRESAN_2026_ARJEPLOG/klagomål/Svanvik SO avvanm FSC-klagomål.docx", "Svanvik SO avvanm")</f>
        <v/>
      </c>
      <c r="AB22">
        <f>HYPERLINK("https://klasma.github.io/Logging_FORSKNINGSRESAN_2026_ARJEPLOG/klagomålsmail/Svanvik SO avvanm FSC-klagomål mail.docx", "Svanvik SO avvanm")</f>
        <v/>
      </c>
      <c r="AC22">
        <f>HYPERLINK("https://klasma.github.io/Logging_FORSKNINGSRESAN_2026_ARJEPLOG/tillsyn/Svanvik SO avvanm tillsynsbegäran.docx", "Svanvik SO avvanm")</f>
        <v/>
      </c>
      <c r="AD22">
        <f>HYPERLINK("https://klasma.github.io/Logging_FORSKNINGSRESAN_2026_ARJEPLOG/tillsynsmail/Svanvik SO avvanm tillsynsbegäran mail.docx", "Svanvik SO avvanm")</f>
        <v/>
      </c>
      <c r="AF22" t="inlineStr">
        <is>
          <t>Grannaturskog</t>
        </is>
      </c>
      <c r="AG22" t="n">
        <v>1</v>
      </c>
      <c r="AH22" t="inlineStr">
        <is>
          <t>Privat</t>
        </is>
      </c>
      <c r="AI22" t="inlineStr">
        <is>
          <t>Dag Gran: Gr 1 (prio 1)</t>
        </is>
      </c>
      <c r="AJ22" t="n">
        <v/>
      </c>
    </row>
    <row r="23" ht="15" customHeight="1">
      <c r="A23" t="inlineStr">
        <is>
          <t>Maskaure Maddagielas S, 27 ha</t>
        </is>
      </c>
      <c r="B23" t="inlineStr">
        <is>
          <t>inventeringsområde</t>
        </is>
      </c>
      <c r="D23" s="1" t="n">
        <v>46223</v>
      </c>
      <c r="E23" s="1" t="n">
        <v>46226</v>
      </c>
      <c r="F23" t="inlineStr">
        <is>
          <t>Norrbottens län</t>
        </is>
      </c>
      <c r="G23" t="inlineStr">
        <is>
          <t>Arjeplog</t>
        </is>
      </c>
      <c r="H23" t="inlineStr">
        <is>
          <t>Sveaskog</t>
        </is>
      </c>
      <c r="I23" t="n">
        <v>26.3</v>
      </c>
      <c r="J23" t="n">
        <v>2</v>
      </c>
      <c r="K23" t="n">
        <v>1</v>
      </c>
      <c r="L23" t="n">
        <v>8</v>
      </c>
      <c r="M23" t="n">
        <v>1</v>
      </c>
      <c r="N23" t="n">
        <v>0</v>
      </c>
      <c r="O23" t="n">
        <v>0</v>
      </c>
      <c r="P23" t="n">
        <v>0</v>
      </c>
      <c r="Q23" t="n">
        <v>9</v>
      </c>
      <c r="R23" t="n">
        <v>1</v>
      </c>
      <c r="S23" t="n">
        <v>11</v>
      </c>
      <c r="T23" t="n">
        <v>55</v>
      </c>
      <c r="U23" t="n">
        <v>54</v>
      </c>
      <c r="V23" s="2" t="inlineStr">
        <is>
          <t>Garnlav
Gammelgransskål
Harticka
Knottrig blåslav
Lavskrika
Rosenticka
Talltagel
Tretåig hackspett
Ullticka
Vedticka
Grå renlav</t>
        </is>
      </c>
      <c r="W23">
        <f>HYPERLINK("https://klasma.github.io/Logging_FORSKNINGSRESAN_2026_ARJEPLOG/artfynd/Maskaure Maddagielas S, 27 ha artfynd.xlsx", "Maskaure Maddagielas S, 27 ha")</f>
        <v/>
      </c>
      <c r="X23">
        <f>HYPERLINK("https://klasma.github.io/Logging_FORSKNINGSRESAN_2026_ARJEPLOG/kartor/Maskaure Maddagielas S, 27 ha karta.png", "Maskaure Maddagielas S, 27 ha")</f>
        <v/>
      </c>
      <c r="Y23">
        <f>HYPERLINK("https://klasma.github.io/Logging_FORSKNINGSRESAN_2026_ARJEPLOG/kartor_geotiff/Maskaure Maddagielas S, 27 ha georefererad karta.tif", "Maskaure Maddagielas S, 27 ha")</f>
        <v/>
      </c>
      <c r="AA23">
        <f>HYPERLINK("https://klasma.github.io/Logging_FORSKNINGSRESAN_2026_ARJEPLOG/klagomål/Maskaure Maddagielas S, 27 ha FSC-klagomål.docx", "Maskaure Maddagielas S, 27 ha")</f>
        <v/>
      </c>
      <c r="AB23">
        <f>HYPERLINK("https://klasma.github.io/Logging_FORSKNINGSRESAN_2026_ARJEPLOG/klagomålsmail/Maskaure Maddagielas S, 27 ha FSC-klagomål mail.docx", "Maskaure Maddagielas S, 27 ha")</f>
        <v/>
      </c>
      <c r="AC23">
        <f>HYPERLINK("https://klasma.github.io/Logging_FORSKNINGSRESAN_2026_ARJEPLOG/tillsyn/Maskaure Maddagielas S, 27 ha tillsynsbegäran.docx", "Maskaure Maddagielas S, 27 ha")</f>
        <v/>
      </c>
      <c r="AD23">
        <f>HYPERLINK("https://klasma.github.io/Logging_FORSKNINGSRESAN_2026_ARJEPLOG/tillsynsmail/Maskaure Maddagielas S, 27 ha tillsynsbegäran mail.docx", "Maskaure Maddagielas S, 27 ha")</f>
        <v/>
      </c>
      <c r="AE23">
        <f>HYPERLINK("https://klasma.github.io/Logging_FORSKNINGSRESAN_2026_ARJEPLOG/fåglar/Maskaure Maddagielas S, 27 ha prioriterade fågelarter.docx", "Maskaure Maddagielas S, 27 ha")</f>
        <v/>
      </c>
      <c r="AF23" t="inlineStr">
        <is>
          <t>Samplaneringsområde</t>
        </is>
      </c>
      <c r="AG23" t="n">
        <v/>
      </c>
      <c r="AH23" t="inlineStr">
        <is>
          <t>Sveaskog</t>
        </is>
      </c>
      <c r="AI23" t="inlineStr">
        <is>
          <t>Ons: Gr 4</t>
        </is>
      </c>
      <c r="AJ23" t="n">
        <v/>
      </c>
    </row>
    <row r="24" ht="15" customHeight="1">
      <c r="A24" t="inlineStr">
        <is>
          <t>Ássjátj utv öster</t>
        </is>
      </c>
      <c r="B24" t="inlineStr">
        <is>
          <t>inventeringsområde</t>
        </is>
      </c>
      <c r="D24" s="1" t="n">
        <v>46223</v>
      </c>
      <c r="E24" s="1" t="n">
        <v>46226</v>
      </c>
      <c r="F24" t="inlineStr">
        <is>
          <t>Norrbottens län</t>
        </is>
      </c>
      <c r="G24" t="inlineStr">
        <is>
          <t>Arjeplog</t>
        </is>
      </c>
      <c r="H24" t="inlineStr">
        <is>
          <t>Övriga statliga verk och myndigheter</t>
        </is>
      </c>
      <c r="I24" t="n">
        <v>27.1</v>
      </c>
      <c r="J24" t="n">
        <v>0</v>
      </c>
      <c r="K24" t="n">
        <v>4</v>
      </c>
      <c r="L24" t="n">
        <v>6</v>
      </c>
      <c r="M24" t="n">
        <v>0</v>
      </c>
      <c r="N24" t="n">
        <v>0</v>
      </c>
      <c r="O24" t="n">
        <v>0</v>
      </c>
      <c r="P24" t="n">
        <v>0</v>
      </c>
      <c r="Q24" t="n">
        <v>6</v>
      </c>
      <c r="R24" t="n">
        <v>0</v>
      </c>
      <c r="S24" t="n">
        <v>10</v>
      </c>
      <c r="T24" t="n">
        <v>13</v>
      </c>
      <c r="U24" t="n">
        <v>0</v>
      </c>
      <c r="V24" s="2" t="inlineStr">
        <is>
          <t>Harticka
Kolflarnlav
Lunglav
Skrovellav
Ullticka
Vedskivlav
Bårdlav
Luddlav
Skinnlav
Ögonpyrola</t>
        </is>
      </c>
      <c r="W24">
        <f>HYPERLINK("https://klasma.github.io/Logging_FORSKNINGSRESAN_2026_ARJEPLOG/artfynd/Ássjátj utv öster artfynd.xlsx", "Ássjátj utv öster")</f>
        <v/>
      </c>
      <c r="X24">
        <f>HYPERLINK("https://klasma.github.io/Logging_FORSKNINGSRESAN_2026_ARJEPLOG/kartor/Ássjátj utv öster karta.png", "Ássjátj utv öster")</f>
        <v/>
      </c>
      <c r="Y24">
        <f>HYPERLINK("https://klasma.github.io/Logging_FORSKNINGSRESAN_2026_ARJEPLOG/kartor_geotiff/Ássjátj utv öster georefererad karta.tif", "Ássjátj utv öster")</f>
        <v/>
      </c>
      <c r="AA24">
        <f>HYPERLINK("https://klasma.github.io/Logging_FORSKNINGSRESAN_2026_ARJEPLOG/klagomål/Ássjátj utv öster FSC-klagomål.docx", "Ássjátj utv öster")</f>
        <v/>
      </c>
      <c r="AB24">
        <f>HYPERLINK("https://klasma.github.io/Logging_FORSKNINGSRESAN_2026_ARJEPLOG/klagomålsmail/Ássjátj utv öster FSC-klagomål mail.docx", "Ássjátj utv öster")</f>
        <v/>
      </c>
      <c r="AC24">
        <f>HYPERLINK("https://klasma.github.io/Logging_FORSKNINGSRESAN_2026_ARJEPLOG/tillsyn/Ássjátj utv öster tillsynsbegäran.docx", "Ássjátj utv öster")</f>
        <v/>
      </c>
      <c r="AD24">
        <f>HYPERLINK("https://klasma.github.io/Logging_FORSKNINGSRESAN_2026_ARJEPLOG/tillsynsmail/Ássjátj utv öster tillsynsbegäran mail.docx", "Ássjátj utv öster")</f>
        <v/>
      </c>
      <c r="AF24" t="inlineStr">
        <is>
          <t>ej inventerad del - gran??</t>
        </is>
      </c>
      <c r="AG24" t="n">
        <v>1</v>
      </c>
      <c r="AH24" t="inlineStr">
        <is>
          <t>SFV</t>
        </is>
      </c>
      <c r="AI24" t="n">
        <v/>
      </c>
      <c r="AJ24" t="n">
        <v/>
      </c>
    </row>
    <row r="25" ht="15" customHeight="1">
      <c r="A25" t="inlineStr">
        <is>
          <t>Ássjátj-udden</t>
        </is>
      </c>
      <c r="B25" t="inlineStr">
        <is>
          <t>inventeringsområde</t>
        </is>
      </c>
      <c r="D25" s="1" t="n">
        <v>46223</v>
      </c>
      <c r="E25" s="1" t="n">
        <v>46226</v>
      </c>
      <c r="F25" t="inlineStr">
        <is>
          <t>Norrbottens län</t>
        </is>
      </c>
      <c r="G25" t="inlineStr">
        <is>
          <t>Arjeplog</t>
        </is>
      </c>
      <c r="I25" t="n">
        <v>53.2</v>
      </c>
      <c r="J25" t="n">
        <v>2</v>
      </c>
      <c r="K25" t="n">
        <v>1</v>
      </c>
      <c r="L25" t="n">
        <v>6</v>
      </c>
      <c r="M25" t="n">
        <v>2</v>
      </c>
      <c r="N25" t="n">
        <v>0</v>
      </c>
      <c r="O25" t="n">
        <v>0</v>
      </c>
      <c r="P25" t="n">
        <v>0</v>
      </c>
      <c r="Q25" t="n">
        <v>8</v>
      </c>
      <c r="R25" t="n">
        <v>2</v>
      </c>
      <c r="S25" t="n">
        <v>9</v>
      </c>
      <c r="T25" t="n">
        <v>10</v>
      </c>
      <c r="U25" t="n">
        <v>0</v>
      </c>
      <c r="V25" s="2" t="inlineStr">
        <is>
          <t>Kristallticka
Ostticka
Gammelgransskål
Rosenticka
Tretåig hackspett
Ullticka
Violettgrå tagellav
Vitgrynig nållav
Spindelblomster</t>
        </is>
      </c>
      <c r="W25">
        <f>HYPERLINK("https://klasma.github.io/Logging_FORSKNINGSRESAN_2026_ARJEPLOG/artfynd/Ássjátj-udden artfynd.xlsx", "Ássjátj-udden")</f>
        <v/>
      </c>
      <c r="X25">
        <f>HYPERLINK("https://klasma.github.io/Logging_FORSKNINGSRESAN_2026_ARJEPLOG/kartor/Ássjátj-udden karta.png", "Ássjátj-udden")</f>
        <v/>
      </c>
      <c r="Y25">
        <f>HYPERLINK("https://klasma.github.io/Logging_FORSKNINGSRESAN_2026_ARJEPLOG/kartor_geotiff/Ássjátj-udden georefererad karta.tif", "Ássjátj-udden")</f>
        <v/>
      </c>
      <c r="AA25">
        <f>HYPERLINK("https://klasma.github.io/Logging_FORSKNINGSRESAN_2026_ARJEPLOG/klagomål/Ássjátj-udden FSC-klagomål.docx", "Ássjátj-udden")</f>
        <v/>
      </c>
      <c r="AB25">
        <f>HYPERLINK("https://klasma.github.io/Logging_FORSKNINGSRESAN_2026_ARJEPLOG/klagomålsmail/Ássjátj-udden FSC-klagomål mail.docx", "Ássjátj-udden")</f>
        <v/>
      </c>
      <c r="AC25">
        <f>HYPERLINK("https://klasma.github.io/Logging_FORSKNINGSRESAN_2026_ARJEPLOG/tillsyn/Ássjátj-udden tillsynsbegäran.docx", "Ássjátj-udden")</f>
        <v/>
      </c>
      <c r="AD25">
        <f>HYPERLINK("https://klasma.github.io/Logging_FORSKNINGSRESAN_2026_ARJEPLOG/tillsynsmail/Ássjátj-udden tillsynsbegäran mail.docx", "Ássjátj-udden")</f>
        <v/>
      </c>
      <c r="AE25">
        <f>HYPERLINK("https://klasma.github.io/Logging_FORSKNINGSRESAN_2026_ARJEPLOG/fåglar/Ássjátj-udden prioriterade fågelarter.docx", "Ássjátj-udden")</f>
        <v/>
      </c>
      <c r="AF25" t="inlineStr">
        <is>
          <t>stavatallskog med överståndare, för lite död ved? oinventerad (jmf greensway norrut)</t>
        </is>
      </c>
      <c r="AG25" t="n">
        <v/>
      </c>
      <c r="AH25" t="inlineStr">
        <is>
          <t>Mestadels privat</t>
        </is>
      </c>
      <c r="AI25" t="n">
        <v/>
      </c>
      <c r="AJ25" t="n">
        <v/>
      </c>
    </row>
    <row r="26" ht="15" customHeight="1">
      <c r="A26" t="inlineStr">
        <is>
          <t>Iksjak-Råssnesudden</t>
        </is>
      </c>
      <c r="B26" t="inlineStr">
        <is>
          <t>inventeringsområde</t>
        </is>
      </c>
      <c r="D26" s="1" t="n">
        <v>46223</v>
      </c>
      <c r="E26" s="1" t="n">
        <v>46226</v>
      </c>
      <c r="F26" t="inlineStr">
        <is>
          <t>Norrbottens län</t>
        </is>
      </c>
      <c r="G26" t="inlineStr">
        <is>
          <t>Arjeplog</t>
        </is>
      </c>
      <c r="H26" t="inlineStr">
        <is>
          <t>Övriga statliga verk och myndigheter</t>
        </is>
      </c>
      <c r="I26" t="n">
        <v>676.5</v>
      </c>
      <c r="J26" t="n">
        <v>0</v>
      </c>
      <c r="K26" t="n">
        <v>2</v>
      </c>
      <c r="L26" t="n">
        <v>4</v>
      </c>
      <c r="M26" t="n">
        <v>2</v>
      </c>
      <c r="N26" t="n">
        <v>0</v>
      </c>
      <c r="O26" t="n">
        <v>0</v>
      </c>
      <c r="P26" t="n">
        <v>0</v>
      </c>
      <c r="Q26" t="n">
        <v>6</v>
      </c>
      <c r="R26" t="n">
        <v>2</v>
      </c>
      <c r="S26" t="n">
        <v>8</v>
      </c>
      <c r="T26" t="n">
        <v>14</v>
      </c>
      <c r="U26" t="n">
        <v>0</v>
      </c>
      <c r="V26" s="2" t="inlineStr">
        <is>
          <t>Fläckporing
Gräddporing
Blanksvart spiklav
Dvärgbägarlav
Knottrig blåslav
Vitplätt
Stuplav
Ögonpyrola</t>
        </is>
      </c>
      <c r="W26">
        <f>HYPERLINK("https://klasma.github.io/Logging_FORSKNINGSRESAN_2026_ARJEPLOG/artfynd/Iksjak-Råssnesudden artfynd.xlsx", "Iksjak-Råssnesudden")</f>
        <v/>
      </c>
      <c r="X26">
        <f>HYPERLINK("https://klasma.github.io/Logging_FORSKNINGSRESAN_2026_ARJEPLOG/kartor/Iksjak-Råssnesudden karta.png", "Iksjak-Råssnesudden")</f>
        <v/>
      </c>
      <c r="Y26">
        <f>HYPERLINK("https://klasma.github.io/Logging_FORSKNINGSRESAN_2026_ARJEPLOG/kartor_geotiff/Iksjak-Råssnesudden georefererad karta.tif", "Iksjak-Råssnesudden")</f>
        <v/>
      </c>
      <c r="AA26">
        <f>HYPERLINK("https://klasma.github.io/Logging_FORSKNINGSRESAN_2026_ARJEPLOG/klagomål/Iksjak-Råssnesudden FSC-klagomål.docx", "Iksjak-Råssnesudden")</f>
        <v/>
      </c>
      <c r="AB26">
        <f>HYPERLINK("https://klasma.github.io/Logging_FORSKNINGSRESAN_2026_ARJEPLOG/klagomålsmail/Iksjak-Råssnesudden FSC-klagomål mail.docx", "Iksjak-Råssnesudden")</f>
        <v/>
      </c>
      <c r="AC26">
        <f>HYPERLINK("https://klasma.github.io/Logging_FORSKNINGSRESAN_2026_ARJEPLOG/tillsyn/Iksjak-Råssnesudden tillsynsbegäran.docx", "Iksjak-Råssnesudden")</f>
        <v/>
      </c>
      <c r="AD26">
        <f>HYPERLINK("https://klasma.github.io/Logging_FORSKNINGSRESAN_2026_ARJEPLOG/tillsynsmail/Iksjak-Råssnesudden tillsynsbegäran mail.docx", "Iksjak-Råssnesudden")</f>
        <v/>
      </c>
      <c r="AF26" t="inlineStr">
        <is>
          <t>Obruten skog. 80-90 % genomgallrat. Finast längst kanterna. Finns stor parkering vid vägen.</t>
        </is>
      </c>
      <c r="AG26" t="n">
        <v>1</v>
      </c>
      <c r="AH26" t="inlineStr">
        <is>
          <t>Övriga statliga verk och myndigheter</t>
        </is>
      </c>
      <c r="AI26" t="n">
        <v/>
      </c>
      <c r="AJ26" t="n">
        <v/>
      </c>
    </row>
    <row r="27" ht="15" customHeight="1">
      <c r="A27" t="inlineStr">
        <is>
          <t>Muörkienåjvvie</t>
        </is>
      </c>
      <c r="B27" t="inlineStr">
        <is>
          <t>inventeringsområde</t>
        </is>
      </c>
      <c r="D27" s="1" t="n">
        <v>46223</v>
      </c>
      <c r="E27" s="1" t="n">
        <v>46226</v>
      </c>
      <c r="F27" t="inlineStr">
        <is>
          <t>Norrbottens län</t>
        </is>
      </c>
      <c r="G27" t="inlineStr">
        <is>
          <t>Arjeplog</t>
        </is>
      </c>
      <c r="I27" t="n">
        <v>121.8</v>
      </c>
      <c r="J27" t="n">
        <v>1</v>
      </c>
      <c r="K27" t="n">
        <v>0</v>
      </c>
      <c r="L27" t="n">
        <v>3</v>
      </c>
      <c r="M27" t="n">
        <v>3</v>
      </c>
      <c r="N27" t="n">
        <v>0</v>
      </c>
      <c r="O27" t="n">
        <v>0</v>
      </c>
      <c r="P27" t="n">
        <v>0</v>
      </c>
      <c r="Q27" t="n">
        <v>6</v>
      </c>
      <c r="R27" t="n">
        <v>3</v>
      </c>
      <c r="S27" t="n">
        <v>6</v>
      </c>
      <c r="T27" t="n">
        <v>6</v>
      </c>
      <c r="U27" t="n">
        <v>0</v>
      </c>
      <c r="V27" s="2" t="inlineStr">
        <is>
          <t>Doftticka
Gränsticka
Ostticka
Doftskinn
Rosenticka
Rynkskinn</t>
        </is>
      </c>
      <c r="W27">
        <f>HYPERLINK("https://klasma.github.io/Logging_FORSKNINGSRESAN_2026_ARJEPLOG/artfynd/Muörkienåjvvie artfynd.xlsx", "Muörkienåjvvie")</f>
        <v/>
      </c>
      <c r="X27">
        <f>HYPERLINK("https://klasma.github.io/Logging_FORSKNINGSRESAN_2026_ARJEPLOG/kartor/Muörkienåjvvie karta.png", "Muörkienåjvvie")</f>
        <v/>
      </c>
      <c r="Y27">
        <f>HYPERLINK("https://klasma.github.io/Logging_FORSKNINGSRESAN_2026_ARJEPLOG/kartor_geotiff/Muörkienåjvvie georefererad karta.tif", "Muörkienåjvvie")</f>
        <v/>
      </c>
      <c r="AA27">
        <f>HYPERLINK("https://klasma.github.io/Logging_FORSKNINGSRESAN_2026_ARJEPLOG/klagomål/Muörkienåjvvie FSC-klagomål.docx", "Muörkienåjvvie")</f>
        <v/>
      </c>
      <c r="AB27">
        <f>HYPERLINK("https://klasma.github.io/Logging_FORSKNINGSRESAN_2026_ARJEPLOG/klagomålsmail/Muörkienåjvvie FSC-klagomål mail.docx", "Muörkienåjvvie")</f>
        <v/>
      </c>
      <c r="AC27">
        <f>HYPERLINK("https://klasma.github.io/Logging_FORSKNINGSRESAN_2026_ARJEPLOG/tillsyn/Muörkienåjvvie tillsynsbegäran.docx", "Muörkienåjvvie")</f>
        <v/>
      </c>
      <c r="AD27">
        <f>HYPERLINK("https://klasma.github.io/Logging_FORSKNINGSRESAN_2026_ARJEPLOG/tillsynsmail/Muörkienåjvvie tillsynsbegäran mail.docx", "Muörkienåjvvie")</f>
        <v/>
      </c>
      <c r="AF27" t="inlineStr">
        <is>
          <t>Bom slutar vid järnvägen, blir lång väg att gå. Kan man gå norrifrån?</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1</v>
      </c>
      <c r="L28" t="n">
        <v>4</v>
      </c>
      <c r="M28" t="n">
        <v>1</v>
      </c>
      <c r="N28" t="n">
        <v>0</v>
      </c>
      <c r="O28" t="n">
        <v>0</v>
      </c>
      <c r="P28" t="n">
        <v>0</v>
      </c>
      <c r="Q28" t="n">
        <v>5</v>
      </c>
      <c r="R28" t="n">
        <v>1</v>
      </c>
      <c r="S28" t="n">
        <v>6</v>
      </c>
      <c r="T28" t="n">
        <v>22</v>
      </c>
      <c r="U28" t="n">
        <v>22</v>
      </c>
      <c r="V28" s="2" t="inlineStr">
        <is>
          <t>Garnlav
Dvärgbägarlav
Knottrig blåslav
Tretåig hackspett
Vitgrynig nållav
Vågbandad barkbock</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2026-07-23T17:43:17Z</dcterms:created>
  <dcterms:modified xmlns:dcterms="http://purl.org/dc/terms/" xmlns:xsi="http://www.w3.org/2001/XMLSchema-instance" xsi:type="dcterms:W3CDTF">2026-07-23T17:43:17Z</dcterms:modified>
</cp:coreProperties>
</file>