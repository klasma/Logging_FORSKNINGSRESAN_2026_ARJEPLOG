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46308</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Olivinkremla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46308</v>
      </c>
      <c r="F3" t="inlineStr">
        <is>
          <t>Norrbottens län</t>
        </is>
      </c>
      <c r="G3" t="inlineStr">
        <is>
          <t>Arjeplog</t>
        </is>
      </c>
      <c r="H3" t="inlineStr">
        <is>
          <t>Övriga statliga verk och myndigheter</t>
        </is>
      </c>
      <c r="I3" t="n">
        <v>119.1</v>
      </c>
      <c r="J3" t="n">
        <v>17</v>
      </c>
      <c r="K3" t="n">
        <v>15</v>
      </c>
      <c r="L3" t="n">
        <v>26</v>
      </c>
      <c r="M3" t="n">
        <v>13</v>
      </c>
      <c r="N3" t="n">
        <v>0</v>
      </c>
      <c r="O3" t="n">
        <v>0</v>
      </c>
      <c r="P3" t="n">
        <v>0</v>
      </c>
      <c r="Q3" t="n">
        <v>39</v>
      </c>
      <c r="R3" t="n">
        <v>13</v>
      </c>
      <c r="S3" t="n">
        <v>76</v>
      </c>
      <c r="T3" t="n">
        <v>725</v>
      </c>
      <c r="U3" t="n">
        <v>689</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Lappmes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46308</v>
      </c>
      <c r="F4" t="inlineStr">
        <is>
          <t>Norrbottens län</t>
        </is>
      </c>
      <c r="G4" t="inlineStr">
        <is>
          <t>Arjeplog</t>
        </is>
      </c>
      <c r="H4" t="inlineStr">
        <is>
          <t>Övriga statliga verk och myndigheter</t>
        </is>
      </c>
      <c r="I4" t="n">
        <v>676.5</v>
      </c>
      <c r="J4" t="n">
        <v>12</v>
      </c>
      <c r="K4" t="n">
        <v>12</v>
      </c>
      <c r="L4" t="n">
        <v>33</v>
      </c>
      <c r="M4" t="n">
        <v>9</v>
      </c>
      <c r="N4" t="n">
        <v>0</v>
      </c>
      <c r="O4" t="n">
        <v>0</v>
      </c>
      <c r="P4" t="n">
        <v>0</v>
      </c>
      <c r="Q4" t="n">
        <v>42</v>
      </c>
      <c r="R4" t="n">
        <v>9</v>
      </c>
      <c r="S4" t="n">
        <v>66</v>
      </c>
      <c r="T4" t="n">
        <v>538</v>
      </c>
      <c r="U4" t="n">
        <v>524</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46308</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46308</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316</v>
      </c>
      <c r="U6" t="n">
        <v>316</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46308</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Svanvik SO avvanm</t>
        </is>
      </c>
      <c r="B8" t="inlineStr">
        <is>
          <t>inventeringsområde</t>
        </is>
      </c>
      <c r="D8" s="1" t="n">
        <v>46223</v>
      </c>
      <c r="E8" s="1" t="n">
        <v>46308</v>
      </c>
      <c r="F8" t="inlineStr">
        <is>
          <t>Norrbottens län</t>
        </is>
      </c>
      <c r="G8" t="inlineStr">
        <is>
          <t>Arjeplog</t>
        </is>
      </c>
      <c r="I8" t="n">
        <v>12.9</v>
      </c>
      <c r="J8" t="n">
        <v>9</v>
      </c>
      <c r="K8" t="n">
        <v>12</v>
      </c>
      <c r="L8" t="n">
        <v>19</v>
      </c>
      <c r="M8" t="n">
        <v>8</v>
      </c>
      <c r="N8" t="n">
        <v>0</v>
      </c>
      <c r="O8" t="n">
        <v>0</v>
      </c>
      <c r="P8" t="n">
        <v>0</v>
      </c>
      <c r="Q8" t="n">
        <v>27</v>
      </c>
      <c r="R8" t="n">
        <v>8</v>
      </c>
      <c r="S8" t="n">
        <v>42</v>
      </c>
      <c r="T8" t="n">
        <v>294</v>
      </c>
      <c r="U8" t="n">
        <v>294</v>
      </c>
      <c r="V8" s="2" t="inlineStr">
        <is>
          <t>Doftticka
Fläckporing
Garnlav
Gränsticka
Knärot
Lappticka
Ostticka
Tajgaskinn
Blanksvart spiklav
Doftskinn
Dvärgbägarlav
Gammelgransskål
Grå blåbärsfältmätare
Harticka
Knottrig blåslav
Lavskrika
Liten svartspik
Rosenticka
Rödbrun blekspik
Skrovellav
Talltita
Tretåig hackspett
Ullticka
Vedflamlav
Vedskivlav
Vedtrappmossa
Vitgrynig nållav
Bronshjon
Bårdlav
Källmossor
Luddlav
Norrlandslav
Plattlummer
Skör kvastmossa
Spindelblomster
Stuplav
Vedticka
Vågbandad barkbock
Ögonpyrola
Bergsslok
Spillkråka
Tjäder</t>
        </is>
      </c>
      <c r="W8">
        <f>HYPERLINK("https://klasma.github.io/Logging_FORSKNINGSRESAN_2026_ARJEPLOG/artfynd/Svanvik SO avvanm artfynd.xlsx", "Svanvik SO avvanm")</f>
        <v/>
      </c>
      <c r="X8">
        <f>HYPERLINK("https://klasma.github.io/Logging_FORSKNINGSRESAN_2026_ARJEPLOG/kartor/Svanvik SO avvanm karta.png", "Svanvik SO avvanm")</f>
        <v/>
      </c>
      <c r="Y8">
        <f>HYPERLINK("https://klasma.github.io/Logging_FORSKNINGSRESAN_2026_ARJEPLOG/kartor_geotiff/Svanvik SO avvanm georefererad karta.tif", "Svanvik SO avvanm")</f>
        <v/>
      </c>
      <c r="Z8">
        <f>HYPERLINK("https://klasma.github.io/Logging_FORSKNINGSRESAN_2026_ARJEPLOG/knärot/Svanvik SO avvanm karta knärot.png", "Svanvik SO avvanm")</f>
        <v/>
      </c>
      <c r="AA8">
        <f>HYPERLINK("https://klasma.github.io/Logging_FORSKNINGSRESAN_2026_ARJEPLOG/klagomål/Svanvik SO avvanm FSC-klagomål.docx", "Svanvik SO avvanm")</f>
        <v/>
      </c>
      <c r="AB8">
        <f>HYPERLINK("https://klasma.github.io/Logging_FORSKNINGSRESAN_2026_ARJEPLOG/klagomålsmail/Svanvik SO avvanm FSC-klagomål mail.docx", "Svanvik SO avvanm")</f>
        <v/>
      </c>
      <c r="AC8">
        <f>HYPERLINK("https://klasma.github.io/Logging_FORSKNINGSRESAN_2026_ARJEPLOG/tillsyn/Svanvik SO avvanm tillsynsbegäran.docx", "Svanvik SO avvanm")</f>
        <v/>
      </c>
      <c r="AD8">
        <f>HYPERLINK("https://klasma.github.io/Logging_FORSKNINGSRESAN_2026_ARJEPLOG/tillsynsmail/Svanvik SO avvanm tillsynsbegäran mail.docx", "Svanvik SO avvanm")</f>
        <v/>
      </c>
      <c r="AE8">
        <f>HYPERLINK("https://klasma.github.io/Logging_FORSKNINGSRESAN_2026_ARJEPLOG/fåglar/Svanvik SO avvanm prioriterade fågelarter.docx", "Svanvik SO avvanm")</f>
        <v/>
      </c>
      <c r="AF8" t="inlineStr">
        <is>
          <t>Grannaturskog</t>
        </is>
      </c>
      <c r="AG8" t="n">
        <v>1</v>
      </c>
      <c r="AH8" t="inlineStr">
        <is>
          <t>Privat</t>
        </is>
      </c>
      <c r="AI8" t="inlineStr">
        <is>
          <t>Dag Gran: Gr 1 (prio 1)</t>
        </is>
      </c>
      <c r="AJ8" t="n">
        <v/>
      </c>
    </row>
    <row r="9" ht="15" customHeight="1">
      <c r="A9" t="inlineStr">
        <is>
          <t>Maskaure Maddagielas N, 68,3 ha</t>
        </is>
      </c>
      <c r="B9" t="inlineStr">
        <is>
          <t>inventeringsområde</t>
        </is>
      </c>
      <c r="D9" s="1" t="n">
        <v>46223</v>
      </c>
      <c r="E9" s="1" t="n">
        <v>46308</v>
      </c>
      <c r="F9" t="inlineStr">
        <is>
          <t>Norrbottens län</t>
        </is>
      </c>
      <c r="G9" t="inlineStr">
        <is>
          <t>Arjeplog</t>
        </is>
      </c>
      <c r="H9" t="inlineStr">
        <is>
          <t>Sveaskog</t>
        </is>
      </c>
      <c r="I9" t="n">
        <v>68.2</v>
      </c>
      <c r="J9" t="n">
        <v>11</v>
      </c>
      <c r="K9" t="n">
        <v>10</v>
      </c>
      <c r="L9" t="n">
        <v>20</v>
      </c>
      <c r="M9" t="n">
        <v>5</v>
      </c>
      <c r="N9" t="n">
        <v>0</v>
      </c>
      <c r="O9" t="n">
        <v>0</v>
      </c>
      <c r="P9" t="n">
        <v>0</v>
      </c>
      <c r="Q9" t="n">
        <v>25</v>
      </c>
      <c r="R9" t="n">
        <v>5</v>
      </c>
      <c r="S9" t="n">
        <v>41</v>
      </c>
      <c r="T9" t="n">
        <v>203</v>
      </c>
      <c r="U9" t="n">
        <v>200</v>
      </c>
      <c r="V9"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9">
        <f>HYPERLINK("https://klasma.github.io/Logging_FORSKNINGSRESAN_2026_ARJEPLOG/artfynd/Maskaure Maddagielas N, 68,3 ha artfynd.xlsx", "Maskaure Maddagielas N, 68,3 ha")</f>
        <v/>
      </c>
      <c r="X9">
        <f>HYPERLINK("https://klasma.github.io/Logging_FORSKNINGSRESAN_2026_ARJEPLOG/kartor/Maskaure Maddagielas N, 68,3 ha karta.png", "Maskaure Maddagielas N, 68,3 ha")</f>
        <v/>
      </c>
      <c r="Y9">
        <f>HYPERLINK("https://klasma.github.io/Logging_FORSKNINGSRESAN_2026_ARJEPLOG/kartor_geotiff/Maskaure Maddagielas N, 68,3 ha georefererad karta.tif", "Maskaure Maddagielas N, 68,3 ha")</f>
        <v/>
      </c>
      <c r="AA9">
        <f>HYPERLINK("https://klasma.github.io/Logging_FORSKNINGSRESAN_2026_ARJEPLOG/klagomål/Maskaure Maddagielas N, 68,3 ha FSC-klagomål.docx", "Maskaure Maddagielas N, 68,3 ha")</f>
        <v/>
      </c>
      <c r="AB9">
        <f>HYPERLINK("https://klasma.github.io/Logging_FORSKNINGSRESAN_2026_ARJEPLOG/klagomålsmail/Maskaure Maddagielas N, 68,3 ha FSC-klagomål mail.docx", "Maskaure Maddagielas N, 68,3 ha")</f>
        <v/>
      </c>
      <c r="AC9">
        <f>HYPERLINK("https://klasma.github.io/Logging_FORSKNINGSRESAN_2026_ARJEPLOG/tillsyn/Maskaure Maddagielas N, 68,3 ha tillsynsbegäran.docx", "Maskaure Maddagielas N, 68,3 ha")</f>
        <v/>
      </c>
      <c r="AD9">
        <f>HYPERLINK("https://klasma.github.io/Logging_FORSKNINGSRESAN_2026_ARJEPLOG/tillsynsmail/Maskaure Maddagielas N, 68,3 ha tillsynsbegäran mail.docx", "Maskaure Maddagielas N, 68,3 ha")</f>
        <v/>
      </c>
      <c r="AE9">
        <f>HYPERLINK("https://klasma.github.io/Logging_FORSKNINGSRESAN_2026_ARJEPLOG/fåglar/Maskaure Maddagielas N, 68,3 ha prioriterade fågelarter.docx", "Maskaure Maddagielas N, 68,3 ha")</f>
        <v/>
      </c>
      <c r="AF9" t="inlineStr">
        <is>
          <t>k-skog, tre samplaneringsomr inom ytan, frivilliga avsättningar inom ytan</t>
        </is>
      </c>
      <c r="AG9" t="n">
        <v>1</v>
      </c>
      <c r="AH9" t="inlineStr">
        <is>
          <t>Sveaskog</t>
        </is>
      </c>
      <c r="AI9" t="inlineStr">
        <is>
          <t>Ons: Gr 4</t>
        </is>
      </c>
      <c r="AJ9" t="n">
        <v/>
      </c>
    </row>
    <row r="10" ht="15" customHeight="1">
      <c r="A10" t="inlineStr">
        <is>
          <t>Maskaure Siebdniesjávrrie-Lillberget, 122 ha</t>
        </is>
      </c>
      <c r="B10" t="inlineStr">
        <is>
          <t>inventeringsområde</t>
        </is>
      </c>
      <c r="D10" s="1" t="n">
        <v>46223</v>
      </c>
      <c r="E10" s="1" t="n">
        <v>46308</v>
      </c>
      <c r="F10" t="inlineStr">
        <is>
          <t>Norrbottens län</t>
        </is>
      </c>
      <c r="G10" t="inlineStr">
        <is>
          <t>Arjeplog</t>
        </is>
      </c>
      <c r="H10" t="inlineStr">
        <is>
          <t>Sveaskog</t>
        </is>
      </c>
      <c r="I10" t="n">
        <v>122.1</v>
      </c>
      <c r="J10" t="n">
        <v>8</v>
      </c>
      <c r="K10" t="n">
        <v>7</v>
      </c>
      <c r="L10" t="n">
        <v>23</v>
      </c>
      <c r="M10" t="n">
        <v>5</v>
      </c>
      <c r="N10" t="n">
        <v>0</v>
      </c>
      <c r="O10" t="n">
        <v>0</v>
      </c>
      <c r="P10" t="n">
        <v>0</v>
      </c>
      <c r="Q10" t="n">
        <v>28</v>
      </c>
      <c r="R10" t="n">
        <v>5</v>
      </c>
      <c r="S10" t="n">
        <v>40</v>
      </c>
      <c r="T10" t="n">
        <v>187</v>
      </c>
      <c r="U10" t="n">
        <v>126</v>
      </c>
      <c r="V10"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10">
        <f>HYPERLINK("https://klasma.github.io/Logging_FORSKNINGSRESAN_2026_ARJEPLOG/artfynd/Maskaure Siebdniesjávrrie-Lillberget, 122 ha artfynd.xlsx", "Maskaure Siebdniesjávrrie-Lillberget, 122 ha")</f>
        <v/>
      </c>
      <c r="X10">
        <f>HYPERLINK("https://klasma.github.io/Logging_FORSKNINGSRESAN_2026_ARJEPLOG/kartor/Maskaure Siebdniesjávrrie-Lillberget, 122 ha karta.png", "Maskaure Siebdniesjávrrie-Lillberget, 122 ha")</f>
        <v/>
      </c>
      <c r="Y10">
        <f>HYPERLINK("https://klasma.github.io/Logging_FORSKNINGSRESAN_2026_ARJEPLOG/kartor_geotiff/Maskaure Siebdniesjávrrie-Lillberget, 122 ha georefererad karta.tif", "Maskaure Siebdniesjávrrie-Lillberget, 122 ha")</f>
        <v/>
      </c>
      <c r="AA10">
        <f>HYPERLINK("https://klasma.github.io/Logging_FORSKNINGSRESAN_2026_ARJEPLOG/klagomål/Maskaure Siebdniesjávrrie-Lillberget, 122 ha FSC-klagomål.docx", "Maskaure Siebdniesjávrrie-Lillberget, 122 ha")</f>
        <v/>
      </c>
      <c r="AB10">
        <f>HYPERLINK("https://klasma.github.io/Logging_FORSKNINGSRESAN_2026_ARJEPLOG/klagomålsmail/Maskaure Siebdniesjávrrie-Lillberget, 122 ha FSC-klagomål mail.docx", "Maskaure Siebdniesjávrrie-Lillberget, 122 ha")</f>
        <v/>
      </c>
      <c r="AC10">
        <f>HYPERLINK("https://klasma.github.io/Logging_FORSKNINGSRESAN_2026_ARJEPLOG/tillsyn/Maskaure Siebdniesjávrrie-Lillberget, 122 ha tillsynsbegäran.docx", "Maskaure Siebdniesjávrrie-Lillberget, 122 ha")</f>
        <v/>
      </c>
      <c r="AD10">
        <f>HYPERLINK("https://klasma.github.io/Logging_FORSKNINGSRESAN_2026_ARJEPLOG/tillsynsmail/Maskaure Siebdniesjávrrie-Lillberget, 122 ha tillsynsbegäran mail.docx", "Maskaure Siebdniesjávrrie-Lillberget, 122 ha")</f>
        <v/>
      </c>
      <c r="AE10">
        <f>HYPERLINK("https://klasma.github.io/Logging_FORSKNINGSRESAN_2026_ARJEPLOG/fåglar/Maskaure Siebdniesjávrrie-Lillberget, 122 ha prioriterade fågelarter.docx", "Maskaure Siebdniesjávrrie-Lillberget, 122 ha")</f>
        <v/>
      </c>
      <c r="AF10" t="inlineStr">
        <is>
          <t>Gran. Samplaneringsomr finns inom omr</t>
        </is>
      </c>
      <c r="AG10" t="n">
        <v>1</v>
      </c>
      <c r="AH10" t="inlineStr">
        <is>
          <t>Sveaskog</t>
        </is>
      </c>
      <c r="AI10" t="inlineStr">
        <is>
          <t>Ons: Gr 1</t>
        </is>
      </c>
      <c r="AJ10" t="n">
        <v/>
      </c>
    </row>
    <row r="11" ht="15" customHeight="1">
      <c r="A11" t="inlineStr">
        <is>
          <t>Maskaure Skornjamyran avvanm, 11,2 ha</t>
        </is>
      </c>
      <c r="B11" t="inlineStr">
        <is>
          <t>inventeringsområde</t>
        </is>
      </c>
      <c r="D11" s="1" t="n">
        <v>46223</v>
      </c>
      <c r="E11" s="1" t="n">
        <v>46308</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46308</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46308</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46308</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46308</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46308</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46308</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46308</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46308</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46308</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46308</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46308</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46308</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46308</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46308</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46308</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46308</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46308</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46308</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46308</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46308</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46308</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46308</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46308</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2026-10-13T08:18:42Z</dcterms:created>
  <dcterms:modified xmlns:dcterms="http://purl.org/dc/terms/" xmlns:xsi="http://www.w3.org/2001/XMLSchema-instance" xsi:type="dcterms:W3CDTF">2026-10-13T08:18:42Z</dcterms:modified>
</cp:coreProperties>
</file>